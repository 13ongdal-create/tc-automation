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0 My Works\3TOP\03 ABC\테스트\"/>
    </mc:Choice>
  </mc:AlternateContent>
  <xr:revisionPtr revIDLastSave="0" documentId="13_ncr:1_{15F1BD27-68CE-4E61-AFA5-EB4B4A7D3D1C}" xr6:coauthVersionLast="43" xr6:coauthVersionMax="43" xr10:uidLastSave="{00000000-0000-0000-0000-000000000000}"/>
  <bookViews>
    <workbookView xWindow="1068" yWindow="-108" windowWidth="22080" windowHeight="13176" tabRatio="808" activeTab="4" xr2:uid="{00000000-000D-0000-FFFF-FFFF00000000}"/>
  </bookViews>
  <sheets>
    <sheet name="표지" sheetId="1" r:id="rId1"/>
    <sheet name="개정이력" sheetId="11" r:id="rId2"/>
    <sheet name="헤더" sheetId="20" r:id="rId3"/>
    <sheet name="결과" sheetId="25" r:id="rId4"/>
    <sheet name="0_목록" sheetId="37" r:id="rId5"/>
    <sheet name="1_FAQ" sheetId="26" r:id="rId6"/>
    <sheet name="2_공지사항" sheetId="33" r:id="rId7"/>
    <sheet name="3_매장찾기" sheetId="34" r:id="rId8"/>
    <sheet name="4_1대1상담" sheetId="35" r:id="rId9"/>
    <sheet name="5_고객의소리" sheetId="36" r:id="rId10"/>
    <sheet name="주문_클레임" sheetId="24" state="hidden" r:id="rId11"/>
  </sheets>
  <externalReferences>
    <externalReference r:id="rId12"/>
  </externalReferences>
  <definedNames>
    <definedName name="_xlnm._FilterDatabase" localSheetId="5" hidden="1">'1_FAQ'!#REF!</definedName>
    <definedName name="_xlnm._FilterDatabase" localSheetId="6" hidden="1">'2_공지사항'!#REF!</definedName>
    <definedName name="_xlnm._FilterDatabase" localSheetId="7" hidden="1">'3_매장찾기'!#REF!</definedName>
    <definedName name="_xlnm._FilterDatabase" localSheetId="8" hidden="1">'4_1대1상담'!#REF!</definedName>
    <definedName name="_xlnm._FilterDatabase" localSheetId="9" hidden="1">'5_고객의소리'!#REF!</definedName>
    <definedName name="_xlnm._FilterDatabase" localSheetId="3" hidden="1">결과!#REF!</definedName>
    <definedName name="_xlnm._FilterDatabase" localSheetId="10" hidden="1">주문_클레임!#REF!</definedName>
    <definedName name="CASE">[1]코드!$K$35:$K$41</definedName>
    <definedName name="DBMS">[1]코드!$G$35:$G$49</definedName>
    <definedName name="EndUser">[1]코드!$D$35:$D$39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 localSheetId="5">'1_FAQ'!$B$1:$B$29</definedName>
    <definedName name="_xlnm.Print_Area" localSheetId="6">'2_공지사항'!$B$1:$B$28</definedName>
    <definedName name="_xlnm.Print_Area" localSheetId="7">'3_매장찾기'!$B$1:$B$28</definedName>
    <definedName name="_xlnm.Print_Area" localSheetId="8">'4_1대1상담'!$B$1:$B$31</definedName>
    <definedName name="_xlnm.Print_Area" localSheetId="9">'5_고객의소리'!$B$1:$B$31</definedName>
    <definedName name="_xlnm.Print_Area" localSheetId="1">개정이력!$A$1:$G$28</definedName>
    <definedName name="_xlnm.Print_Area" localSheetId="3">결과!$B$1:$E$4</definedName>
    <definedName name="_xlnm.Print_Area" localSheetId="10">주문_클레임!$A$1:$D$5</definedName>
    <definedName name="_xlnm.Print_Area" localSheetId="0">표지!$A$1:$J$29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81029" iterate="1"/>
  <customWorkbookViews>
    <customWorkbookView name="April - 사용자 보기" guid="{6B4CEAB6-6476-40EF-9561-4F8D85AFD37C}" mergeInterval="0" personalView="1" maximized="1" xWindow="1" yWindow="1" windowWidth="1362" windowHeight="540" tabRatio="808" activeSheetId="8"/>
    <customWorkbookView name="Stanley - 사용자 보기" guid="{9E41C106-8555-4D00-9C60-0A4D2648D9CB}" mergeInterval="0" personalView="1" maximized="1" xWindow="1" yWindow="1" windowWidth="1600" windowHeight="662" tabRatio="808" activeSheetId="4"/>
    <customWorkbookView name="Registered User - 사용자 보기" guid="{7BC7DFEF-B243-4AEA-BD24-C08A31FC1961}" mergeInterval="0" personalView="1" maximized="1" windowWidth="1600" windowHeight="630" activeSheetId="16"/>
    <customWorkbookView name="sjhan - 사용자 보기" guid="{999532EC-1560-4A19-98E1-7A21A92EFAC8}" mergeInterval="0" personalView="1" maximized="1" xWindow="1592" yWindow="-8" windowWidth="1936" windowHeight="1056" activeSheetId="9"/>
    <customWorkbookView name="Martin - 사용자 보기" guid="{B85FF36A-E497-4344-8837-3F9CCFCDB95A}" mergeInterval="0" personalView="1" maximized="1" xWindow="-9" yWindow="-9" windowWidth="1938" windowHeight="1050" activeSheetId="10"/>
    <customWorkbookView name="leeroy - 사용자 보기" guid="{A6CC21FE-7CAA-4904-A5F5-A181631EC1E8}" mergeInterval="0" personalView="1" maximized="1" xWindow="-9" yWindow="-9" windowWidth="1938" windowHeight="1050" activeSheetId="11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9" i="25" l="1"/>
  <c r="F19" i="25"/>
  <c r="E19" i="25"/>
  <c r="D19" i="25"/>
  <c r="C19" i="25"/>
  <c r="M18" i="25"/>
  <c r="L18" i="25"/>
  <c r="J18" i="25"/>
  <c r="H18" i="25"/>
  <c r="I18" i="25" s="1"/>
  <c r="M17" i="25"/>
  <c r="L17" i="25"/>
  <c r="K17" i="25"/>
  <c r="J17" i="25"/>
  <c r="H17" i="25"/>
  <c r="I17" i="25" s="1"/>
  <c r="M16" i="25"/>
  <c r="L16" i="25"/>
  <c r="K16" i="25"/>
  <c r="J16" i="25"/>
  <c r="H16" i="25"/>
  <c r="I16" i="25" s="1"/>
  <c r="M15" i="25"/>
  <c r="L15" i="25"/>
  <c r="K15" i="25"/>
  <c r="J15" i="25"/>
  <c r="H15" i="25"/>
  <c r="I15" i="25" s="1"/>
  <c r="H9" i="25"/>
  <c r="G58" i="25"/>
  <c r="M58" i="25" s="1"/>
  <c r="F58" i="25"/>
  <c r="E58" i="25"/>
  <c r="D58" i="25"/>
  <c r="L58" i="25" s="1"/>
  <c r="C58" i="25"/>
  <c r="M57" i="25"/>
  <c r="L57" i="25"/>
  <c r="J57" i="25"/>
  <c r="I57" i="25"/>
  <c r="M56" i="25"/>
  <c r="L56" i="25"/>
  <c r="K56" i="25"/>
  <c r="J56" i="25"/>
  <c r="H56" i="25"/>
  <c r="I56" i="25" s="1"/>
  <c r="M55" i="25"/>
  <c r="L55" i="25"/>
  <c r="K55" i="25"/>
  <c r="J55" i="25"/>
  <c r="H55" i="25"/>
  <c r="H58" i="25" s="1"/>
  <c r="M54" i="25"/>
  <c r="L54" i="25"/>
  <c r="K54" i="25"/>
  <c r="J54" i="25"/>
  <c r="I54" i="25"/>
  <c r="H54" i="25"/>
  <c r="G51" i="25"/>
  <c r="M51" i="25" s="1"/>
  <c r="F51" i="25"/>
  <c r="E51" i="25"/>
  <c r="D51" i="25"/>
  <c r="L51" i="25" s="1"/>
  <c r="C51" i="25"/>
  <c r="M50" i="25"/>
  <c r="L50" i="25"/>
  <c r="K50" i="25"/>
  <c r="J50" i="25"/>
  <c r="H50" i="25"/>
  <c r="I50" i="25" s="1"/>
  <c r="M49" i="25"/>
  <c r="L49" i="25"/>
  <c r="J49" i="25"/>
  <c r="I49" i="25"/>
  <c r="M48" i="25"/>
  <c r="L48" i="25"/>
  <c r="K48" i="25"/>
  <c r="J48" i="25"/>
  <c r="H48" i="25"/>
  <c r="I48" i="25" s="1"/>
  <c r="M47" i="25"/>
  <c r="L47" i="25"/>
  <c r="K47" i="25"/>
  <c r="J47" i="25"/>
  <c r="I47" i="25"/>
  <c r="H47" i="25"/>
  <c r="M46" i="25"/>
  <c r="L46" i="25"/>
  <c r="K46" i="25"/>
  <c r="J46" i="25"/>
  <c r="H46" i="25"/>
  <c r="G10" i="25"/>
  <c r="F10" i="25"/>
  <c r="E10" i="25"/>
  <c r="D10" i="25"/>
  <c r="C10" i="25"/>
  <c r="M9" i="25"/>
  <c r="L9" i="25"/>
  <c r="J9" i="25"/>
  <c r="I9" i="25"/>
  <c r="M8" i="25"/>
  <c r="L8" i="25"/>
  <c r="K8" i="25"/>
  <c r="J8" i="25"/>
  <c r="H8" i="25"/>
  <c r="I8" i="25" s="1"/>
  <c r="M7" i="25"/>
  <c r="L7" i="25"/>
  <c r="K7" i="25"/>
  <c r="J7" i="25"/>
  <c r="H7" i="25"/>
  <c r="M6" i="25"/>
  <c r="L6" i="25"/>
  <c r="K6" i="25"/>
  <c r="J6" i="25"/>
  <c r="H6" i="25"/>
  <c r="I6" i="25" s="1"/>
  <c r="M10" i="25" l="1"/>
  <c r="M19" i="25"/>
  <c r="J19" i="25"/>
  <c r="K19" i="25"/>
  <c r="L19" i="25"/>
  <c r="H19" i="25"/>
  <c r="I19" i="25" s="1"/>
  <c r="H51" i="25"/>
  <c r="I51" i="25" s="1"/>
  <c r="K51" i="25"/>
  <c r="L10" i="25"/>
  <c r="J51" i="25"/>
  <c r="I58" i="25"/>
  <c r="J58" i="25"/>
  <c r="K58" i="25"/>
  <c r="I55" i="25"/>
  <c r="I46" i="25"/>
  <c r="K10" i="25"/>
  <c r="H10" i="25"/>
  <c r="I10" i="25" s="1"/>
  <c r="I7" i="25"/>
  <c r="J1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tc={50B580BC-DD6B-4B0F-953B-55BB570DF576}</author>
    <author>tc={6281175D-9A8C-413C-ACF5-AAA6B1403953}</author>
  </authors>
  <commentList>
    <comment ref="Q3" authorId="0" shapeId="0" xr:uid="{50B580BC-DD6B-4B0F-953B-55BB570DF576}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기프트상품권 결제수단 추가 필요</t>
        </r>
      </text>
    </comment>
    <comment ref="AL4" authorId="1" shapeId="0" xr:uid="{6281175D-9A8C-413C-ACF5-AAA6B1403953}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주문된 상품에 옵션변경이 가능한가요?
&gt;&gt; 불가능할 경우, 옵션변경 항목 삭제 필요</t>
        </r>
      </text>
    </comment>
  </commentList>
</comments>
</file>

<file path=xl/sharedStrings.xml><?xml version="1.0" encoding="utf-8"?>
<sst xmlns="http://schemas.openxmlformats.org/spreadsheetml/2006/main" count="2224" uniqueCount="699">
  <si>
    <t>제.개정 이력</t>
    <phoneticPr fontId="3" type="noConversion"/>
  </si>
  <si>
    <t>프로젝트</t>
  </si>
  <si>
    <t>단계</t>
  </si>
  <si>
    <t>작성자</t>
  </si>
  <si>
    <t>버전</t>
    <phoneticPr fontId="3" type="noConversion"/>
  </si>
  <si>
    <t>제.개정일자</t>
    <phoneticPr fontId="3" type="noConversion"/>
  </si>
  <si>
    <t>제.개정내용</t>
    <phoneticPr fontId="3" type="noConversion"/>
  </si>
  <si>
    <t>작성자</t>
    <phoneticPr fontId="3" type="noConversion"/>
  </si>
  <si>
    <t>ABC-MART 온라인 쇼핑몰 2.0 구축</t>
    <phoneticPr fontId="3" type="noConversion"/>
  </si>
  <si>
    <t>프로젝트</t>
    <phoneticPr fontId="3" type="noConversion"/>
  </si>
  <si>
    <t>작성자</t>
    <phoneticPr fontId="3" type="noConversion"/>
  </si>
  <si>
    <t>작성일</t>
    <phoneticPr fontId="3" type="noConversion"/>
  </si>
  <si>
    <t>승인자</t>
    <phoneticPr fontId="3" type="noConversion"/>
  </si>
  <si>
    <t>승인일</t>
    <phoneticPr fontId="3" type="noConversion"/>
  </si>
  <si>
    <t>YYYY-MM-DD</t>
    <phoneticPr fontId="3" type="noConversion"/>
  </si>
  <si>
    <t>ABC 부장</t>
    <phoneticPr fontId="3" type="noConversion"/>
  </si>
  <si>
    <t>작성일</t>
    <phoneticPr fontId="3" type="noConversion"/>
  </si>
  <si>
    <t>초안 작성</t>
    <phoneticPr fontId="3" type="noConversion"/>
  </si>
  <si>
    <t xml:space="preserve"> </t>
    <phoneticPr fontId="3" type="noConversion"/>
  </si>
  <si>
    <t>Password</t>
    <phoneticPr fontId="3" type="noConversion"/>
  </si>
  <si>
    <t>테스트</t>
    <phoneticPr fontId="3" type="noConversion"/>
  </si>
  <si>
    <t>Pass</t>
  </si>
  <si>
    <t>통합테스트 시나리오 및 결과서</t>
    <phoneticPr fontId="3" type="noConversion"/>
  </si>
  <si>
    <t>Test ID</t>
    <phoneticPr fontId="3" type="noConversion"/>
  </si>
  <si>
    <t>테스터</t>
    <phoneticPr fontId="3" type="noConversion"/>
  </si>
  <si>
    <t>수행일자</t>
    <phoneticPr fontId="3" type="noConversion"/>
  </si>
  <si>
    <t>담당 개발자</t>
    <phoneticPr fontId="3" type="noConversion"/>
  </si>
  <si>
    <t>담당 PL</t>
    <phoneticPr fontId="3" type="noConversion"/>
  </si>
  <si>
    <t>비고</t>
    <phoneticPr fontId="3" type="noConversion"/>
  </si>
  <si>
    <t>IE10</t>
    <phoneticPr fontId="3" type="noConversion"/>
  </si>
  <si>
    <t>IE11</t>
    <phoneticPr fontId="3" type="noConversion"/>
  </si>
  <si>
    <t>Chrome</t>
    <phoneticPr fontId="3" type="noConversion"/>
  </si>
  <si>
    <t>Android 7.0</t>
    <phoneticPr fontId="3" type="noConversion"/>
  </si>
  <si>
    <t>Galaxy S7</t>
    <phoneticPr fontId="3" type="noConversion"/>
  </si>
  <si>
    <t>iPhone 7</t>
    <phoneticPr fontId="3" type="noConversion"/>
  </si>
  <si>
    <t>Mobile App Device</t>
    <phoneticPr fontId="3" type="noConversion"/>
  </si>
  <si>
    <t>iOS 11.2.6</t>
    <phoneticPr fontId="3" type="noConversion"/>
  </si>
  <si>
    <t>처리 여부</t>
    <phoneticPr fontId="3" type="noConversion"/>
  </si>
  <si>
    <t>Fail</t>
  </si>
  <si>
    <t>N/A</t>
  </si>
  <si>
    <t>Block</t>
  </si>
  <si>
    <t>ABC</t>
    <phoneticPr fontId="3" type="noConversion"/>
  </si>
  <si>
    <t>07/31</t>
    <phoneticPr fontId="3" type="noConversion"/>
  </si>
  <si>
    <t>처리일자</t>
    <phoneticPr fontId="3" type="noConversion"/>
  </si>
  <si>
    <t>Y</t>
  </si>
  <si>
    <t>PC Web</t>
    <phoneticPr fontId="3" type="noConversion"/>
  </si>
  <si>
    <t>Mobile Web</t>
    <phoneticPr fontId="3" type="noConversion"/>
  </si>
  <si>
    <t>주문변경 및 클레임 처리</t>
  </si>
  <si>
    <t>포인트</t>
  </si>
  <si>
    <t>주문
취소</t>
  </si>
  <si>
    <t>옵션
변경</t>
  </si>
  <si>
    <t>반품</t>
  </si>
  <si>
    <t>교환</t>
  </si>
  <si>
    <t>주문사용</t>
  </si>
  <si>
    <t>결제
적립</t>
  </si>
  <si>
    <t>반품접수</t>
  </si>
  <si>
    <t>추가결제</t>
  </si>
  <si>
    <t>환불받기</t>
  </si>
  <si>
    <t>교환접수</t>
  </si>
  <si>
    <t>회원정보</t>
    <phoneticPr fontId="3" type="noConversion"/>
  </si>
  <si>
    <t>회원구분</t>
    <phoneticPr fontId="3" type="noConversion"/>
  </si>
  <si>
    <t>ID</t>
    <phoneticPr fontId="3" type="noConversion"/>
  </si>
  <si>
    <t>상품정보</t>
    <phoneticPr fontId="3" type="noConversion"/>
  </si>
  <si>
    <t>상품구분</t>
    <phoneticPr fontId="3" type="noConversion"/>
  </si>
  <si>
    <t>상품번호</t>
    <phoneticPr fontId="3" type="noConversion"/>
  </si>
  <si>
    <t>상품명</t>
    <phoneticPr fontId="3" type="noConversion"/>
  </si>
  <si>
    <t>가격</t>
    <phoneticPr fontId="3" type="noConversion"/>
  </si>
  <si>
    <t>주문수량</t>
    <phoneticPr fontId="3" type="noConversion"/>
  </si>
  <si>
    <t>1개</t>
    <phoneticPr fontId="3" type="noConversion"/>
  </si>
  <si>
    <t>2개 이상</t>
    <phoneticPr fontId="3" type="noConversion"/>
  </si>
  <si>
    <t>같은 상품</t>
    <phoneticPr fontId="3" type="noConversion"/>
  </si>
  <si>
    <t>다른 상품</t>
    <phoneticPr fontId="3" type="noConversion"/>
  </si>
  <si>
    <t>할인정보</t>
    <phoneticPr fontId="3" type="noConversion"/>
  </si>
  <si>
    <t>세일</t>
    <phoneticPr fontId="3" type="noConversion"/>
  </si>
  <si>
    <t>쿠폰/프로모션</t>
    <phoneticPr fontId="3" type="noConversion"/>
  </si>
  <si>
    <t>쿠폰</t>
    <phoneticPr fontId="3" type="noConversion"/>
  </si>
  <si>
    <t>상품쿠폰</t>
    <phoneticPr fontId="3" type="noConversion"/>
  </si>
  <si>
    <t>장바구니쿠폰</t>
    <phoneticPr fontId="3" type="noConversion"/>
  </si>
  <si>
    <t>무료배송</t>
    <phoneticPr fontId="3" type="noConversion"/>
  </si>
  <si>
    <t>포인트 사용</t>
    <phoneticPr fontId="3" type="noConversion"/>
  </si>
  <si>
    <t>결제수단</t>
    <phoneticPr fontId="3" type="noConversion"/>
  </si>
  <si>
    <t>신용카드</t>
    <phoneticPr fontId="3" type="noConversion"/>
  </si>
  <si>
    <t>계좌이체</t>
    <phoneticPr fontId="3" type="noConversion"/>
  </si>
  <si>
    <t>가상계좌</t>
    <phoneticPr fontId="3" type="noConversion"/>
  </si>
  <si>
    <t>간편결제</t>
    <phoneticPr fontId="3" type="noConversion"/>
  </si>
  <si>
    <t>주문/결제 테스트 정보</t>
    <phoneticPr fontId="3" type="noConversion"/>
  </si>
  <si>
    <t>주문/결제 Defect 처리 정보</t>
    <phoneticPr fontId="3" type="noConversion"/>
  </si>
  <si>
    <t>사용취소
(원복)</t>
    <phoneticPr fontId="3" type="noConversion"/>
  </si>
  <si>
    <t>주문번호</t>
    <phoneticPr fontId="3" type="noConversion"/>
  </si>
  <si>
    <t>클레임번호</t>
    <phoneticPr fontId="3" type="noConversion"/>
  </si>
  <si>
    <t>주문변경 및 클레임 테스트 정보</t>
    <phoneticPr fontId="3" type="noConversion"/>
  </si>
  <si>
    <t>주문변경 및 클레임 Defect 처리 정보</t>
    <phoneticPr fontId="3" type="noConversion"/>
  </si>
  <si>
    <t>○</t>
  </si>
  <si>
    <t>일반</t>
    <phoneticPr fontId="3" type="noConversion"/>
  </si>
  <si>
    <t>test01</t>
    <phoneticPr fontId="3" type="noConversion"/>
  </si>
  <si>
    <t>ITS-OD-001</t>
    <phoneticPr fontId="3" type="noConversion"/>
  </si>
  <si>
    <t>시나리오 수</t>
    <phoneticPr fontId="3" type="noConversion"/>
  </si>
  <si>
    <t>Pass</t>
    <phoneticPr fontId="3" type="noConversion"/>
  </si>
  <si>
    <t>Fail</t>
    <phoneticPr fontId="3" type="noConversion"/>
  </si>
  <si>
    <t>N/A</t>
    <phoneticPr fontId="3" type="noConversion"/>
  </si>
  <si>
    <t>Block</t>
    <phoneticPr fontId="3" type="noConversion"/>
  </si>
  <si>
    <t>SYS</t>
    <phoneticPr fontId="3" type="noConversion"/>
  </si>
  <si>
    <t>시나리오 순서</t>
    <phoneticPr fontId="3" type="noConversion"/>
  </si>
  <si>
    <t>SYS</t>
    <phoneticPr fontId="30" type="noConversion"/>
  </si>
  <si>
    <t>중요도</t>
    <phoneticPr fontId="30" type="noConversion"/>
  </si>
  <si>
    <t>테스트 항목</t>
    <phoneticPr fontId="30" type="noConversion"/>
  </si>
  <si>
    <t>입력값</t>
    <phoneticPr fontId="30" type="noConversion"/>
  </si>
  <si>
    <t>기대 결과</t>
    <phoneticPr fontId="30" type="noConversion"/>
  </si>
  <si>
    <t>수행일자</t>
    <phoneticPr fontId="30" type="noConversion"/>
  </si>
  <si>
    <t>수행자</t>
    <phoneticPr fontId="30" type="noConversion"/>
  </si>
  <si>
    <t>테스트결과</t>
    <phoneticPr fontId="30" type="noConversion"/>
  </si>
  <si>
    <t>결함사항</t>
    <phoneticPr fontId="30" type="noConversion"/>
  </si>
  <si>
    <t>비고</t>
    <phoneticPr fontId="30" type="noConversion"/>
  </si>
  <si>
    <t>프로세스</t>
    <phoneticPr fontId="3" type="noConversion"/>
  </si>
  <si>
    <t>테스트 사전 준비사항</t>
    <phoneticPr fontId="3" type="noConversion"/>
  </si>
  <si>
    <t>수정여부</t>
    <phoneticPr fontId="3" type="noConversion"/>
  </si>
  <si>
    <t>시나리오명</t>
    <phoneticPr fontId="30" type="noConversion"/>
  </si>
  <si>
    <t>수행 절차</t>
    <phoneticPr fontId="3" type="noConversion"/>
  </si>
  <si>
    <t>Total</t>
    <phoneticPr fontId="3" type="noConversion"/>
  </si>
  <si>
    <t>진척율</t>
    <phoneticPr fontId="3" type="noConversion"/>
  </si>
  <si>
    <t>수행율</t>
    <phoneticPr fontId="3" type="noConversion"/>
  </si>
  <si>
    <t>성공율</t>
    <phoneticPr fontId="3" type="noConversion"/>
  </si>
  <si>
    <t>결함율</t>
    <phoneticPr fontId="3" type="noConversion"/>
  </si>
  <si>
    <t>수행불가율</t>
    <phoneticPr fontId="3" type="noConversion"/>
  </si>
  <si>
    <t>MO</t>
    <phoneticPr fontId="3" type="noConversion"/>
  </si>
  <si>
    <t>BO</t>
    <phoneticPr fontId="3" type="noConversion"/>
  </si>
  <si>
    <t>PO</t>
    <phoneticPr fontId="3" type="noConversion"/>
  </si>
  <si>
    <t>Total</t>
    <phoneticPr fontId="3" type="noConversion"/>
  </si>
  <si>
    <t>회원가입</t>
    <phoneticPr fontId="3" type="noConversion"/>
  </si>
  <si>
    <t>멤버십 전환</t>
    <phoneticPr fontId="3" type="noConversion"/>
  </si>
  <si>
    <t>…</t>
    <phoneticPr fontId="3" type="noConversion"/>
  </si>
  <si>
    <t>테스트 수행 현황</t>
    <phoneticPr fontId="3" type="noConversion"/>
  </si>
  <si>
    <t>Sheet명</t>
    <phoneticPr fontId="3" type="noConversion"/>
  </si>
  <si>
    <t>회원가입 Sheet</t>
    <phoneticPr fontId="3" type="noConversion"/>
  </si>
  <si>
    <t>... Sheet</t>
    <phoneticPr fontId="3" type="noConversion"/>
  </si>
  <si>
    <t>BO</t>
    <phoneticPr fontId="3" type="noConversion"/>
  </si>
  <si>
    <t>상</t>
    <phoneticPr fontId="3" type="noConversion"/>
  </si>
  <si>
    <t>각 조건에따라 검색결과가 잘 표시되는지 확인</t>
    <phoneticPr fontId="3" type="noConversion"/>
  </si>
  <si>
    <t>하</t>
    <phoneticPr fontId="3" type="noConversion"/>
  </si>
  <si>
    <t>TOP 10 순위설정페이지에서 순위조정 후 저장</t>
    <phoneticPr fontId="3" type="noConversion"/>
  </si>
  <si>
    <t>TOP 10 설정한 게시물의 설정 / 전시 여부가 정확히 표시되는지 확인</t>
    <phoneticPr fontId="3" type="noConversion"/>
  </si>
  <si>
    <t>FO</t>
    <phoneticPr fontId="3" type="noConversion"/>
  </si>
  <si>
    <t>중</t>
    <phoneticPr fontId="3" type="noConversion"/>
  </si>
  <si>
    <t>매장 지도검색</t>
    <phoneticPr fontId="3" type="noConversion"/>
  </si>
  <si>
    <t>매장 지도 키워드검색</t>
    <phoneticPr fontId="3" type="noConversion"/>
  </si>
  <si>
    <t>PC용 MC용 매장 배너 등록</t>
    <phoneticPr fontId="3" type="noConversion"/>
  </si>
  <si>
    <t>오프라인 매장 지도검색 팝업 &gt; 매장명 검색을 통해 X, Y 좌표값 입력</t>
    <phoneticPr fontId="3" type="noConversion"/>
  </si>
  <si>
    <t>입력된 키워드로 매장의 정보(핀, 매장명, 신주소, 지번주소, 전화번호)가 표시 되는지 확인</t>
    <phoneticPr fontId="3" type="noConversion"/>
  </si>
  <si>
    <t>매장전용 상품존 배너 확인</t>
    <phoneticPr fontId="3" type="noConversion"/>
  </si>
  <si>
    <t>매장 전용 상품존 페이지 이동</t>
    <phoneticPr fontId="3" type="noConversion"/>
  </si>
  <si>
    <t>매장의 상세정보 확인</t>
    <phoneticPr fontId="3" type="noConversion"/>
  </si>
  <si>
    <t>매장명, 지도, 서비스 아이콘, 주소, 전화번호, 영업시간, 찾아가는길, 기타정보, 오프라인 매장 배너 확인</t>
    <phoneticPr fontId="3" type="noConversion"/>
  </si>
  <si>
    <t>1:1상담 등록</t>
    <phoneticPr fontId="3" type="noConversion"/>
  </si>
  <si>
    <t>상담할 주문상품 선택</t>
    <phoneticPr fontId="3" type="noConversion"/>
  </si>
  <si>
    <t>상담할  AS상품 선택</t>
    <phoneticPr fontId="3" type="noConversion"/>
  </si>
  <si>
    <t>1:1문의 검색</t>
    <phoneticPr fontId="3" type="noConversion"/>
  </si>
  <si>
    <t xml:space="preserve"> 1:1문의 게시물 조회</t>
    <phoneticPr fontId="3" type="noConversion"/>
  </si>
  <si>
    <t>답변하기</t>
    <phoneticPr fontId="3" type="noConversion"/>
  </si>
  <si>
    <t>관리자메모 : 하단 관리자메모 저장 확인</t>
    <phoneticPr fontId="3" type="noConversion"/>
  </si>
  <si>
    <t>관리자메모</t>
    <phoneticPr fontId="3" type="noConversion"/>
  </si>
  <si>
    <t>상담스크립트 기능</t>
    <phoneticPr fontId="3" type="noConversion"/>
  </si>
  <si>
    <t>상담스크립트 등록/수정</t>
    <phoneticPr fontId="3" type="noConversion"/>
  </si>
  <si>
    <t>고객의소리 등록</t>
  </si>
  <si>
    <t>고객의소리 검색</t>
  </si>
  <si>
    <t xml:space="preserve"> 고객의소리 게시물 조회</t>
  </si>
  <si>
    <t>박주희 차장</t>
    <phoneticPr fontId="3" type="noConversion"/>
  </si>
  <si>
    <t>박주희</t>
    <phoneticPr fontId="3" type="noConversion"/>
  </si>
  <si>
    <t>No.</t>
    <phoneticPr fontId="30" type="noConversion"/>
  </si>
  <si>
    <t>구분</t>
    <phoneticPr fontId="3" type="noConversion"/>
  </si>
  <si>
    <t xml:space="preserve"> [FO/MO] 고객의소리 등록 &gt; [BO] 상담스크립트관리 &gt; [BO] 관리자 답변 &gt; [BO] 알림 &gt; [FO/MO] 마이페이지 고객의소리 확인</t>
  </si>
  <si>
    <t xml:space="preserve"> [BO] FAQ 등록/수정 &gt; [FO/MO] FAQ BEST 10 목록 &gt; [FO/MO] FAQ 검색 &gt; [FO/MO] FAQ 분류별 목록 &gt; 상세</t>
    <phoneticPr fontId="3" type="noConversion"/>
  </si>
  <si>
    <t>검색어 입력 후 검색버튼 선택</t>
  </si>
  <si>
    <t xml:space="preserve">매장명, 주소, 제공서비스 아이콘 표시 확인
- 타 매장 선택시 우측 매장 지도 변경 확인 </t>
  </si>
  <si>
    <t>답변 작성 후 저장버튼 선택</t>
  </si>
  <si>
    <t>관리자메모 작성 후 저장버튼 선택</t>
  </si>
  <si>
    <t>1. 고객응대관리 &gt; FAQ 
2. 각 입력항목 입력 후 하단 저장버튼 선택</t>
    <phoneticPr fontId="3" type="noConversion"/>
  </si>
  <si>
    <t>1. 고객응대관리 &gt; FAQ
2. TOP 10 순위설정페이지에서 순위조정</t>
    <phoneticPr fontId="3" type="noConversion"/>
  </si>
  <si>
    <t>1. TOP 10 설정 여부, FAQ유형, 전시여부, 검색어 선택
2. 검색 선택</t>
    <phoneticPr fontId="3" type="noConversion"/>
  </si>
  <si>
    <t>초기화 버튼 선택시 입력폼들의 내용이 초기화 되는지 확인</t>
    <phoneticPr fontId="3" type="noConversion"/>
  </si>
  <si>
    <t>1. FAQ유형, 질문, 답변, 전시여부, TOP 10 설정 입력 
2. 하단 저장버튼 선택</t>
    <phoneticPr fontId="3" type="noConversion"/>
  </si>
  <si>
    <t>대량 데이터 N개 이상 있을시 로딩속도 확인</t>
    <phoneticPr fontId="3" type="noConversion"/>
  </si>
  <si>
    <t>FAQ탭 선택후 검색했을 경우 텝이 비활성화 되고 검색결과 목록이 표시되는지 확인</t>
    <phoneticPr fontId="3" type="noConversion"/>
  </si>
  <si>
    <t xml:space="preserve">자주묻는질문 BEST10 버튼 선택시 탭이 비활성화 되고 FAQ첫 진입화면으로 표시되는지 확인 </t>
    <phoneticPr fontId="3" type="noConversion"/>
  </si>
  <si>
    <t>각 FAQ유형 탭에따라 게시물 목록이 잘 표시되는지 확인</t>
    <phoneticPr fontId="3" type="noConversion"/>
  </si>
  <si>
    <t>1. 고객센터 &gt; FAQ
2. 검색어 입력
3. 검색버튼 선택</t>
    <phoneticPr fontId="3" type="noConversion"/>
  </si>
  <si>
    <t>1. 고객센터 &gt; FAQ
2. 검색어, 검색건수, 게시물의 검색어 강조 여부 확인</t>
    <phoneticPr fontId="3" type="noConversion"/>
  </si>
  <si>
    <t>1. 고객센터 &gt; FAQ
2. FAQ유형, 질문, 답변, 전시여부, TOP 10 설정에 따라 게시물 표시 확인</t>
    <phoneticPr fontId="3" type="noConversion"/>
  </si>
  <si>
    <t>MO</t>
  </si>
  <si>
    <t xml:space="preserve"> [BO] 공지사항 등록/수정 &gt; [FO/MO] 공지사항 목록 &gt; [FO/MO] 공지사항 검색 &gt; [FO/MO] 상세</t>
    <phoneticPr fontId="3" type="noConversion"/>
  </si>
  <si>
    <t xml:space="preserve">  [BO] 고객응대관리 &gt; FAQ 
   - 게시물 등록
   - 이미지 등록 및 첨부파일 등록
   - 분류별 게시물 등록
   - 게시물 대량 등록</t>
    <phoneticPr fontId="3" type="noConversion"/>
  </si>
  <si>
    <t>1. 고객응대관리 &gt; FAQ  검색조건 선택2. 검색버튼 선택</t>
  </si>
  <si>
    <t>통합테스트 시나리오 목록</t>
  </si>
  <si>
    <t>No.</t>
  </si>
  <si>
    <t>프로세스</t>
  </si>
  <si>
    <t>시나리오 ID</t>
  </si>
  <si>
    <t>시나리오명</t>
  </si>
  <si>
    <t>1. 고객응대관리 &gt; 공지사항
2. 검색조건 선택후 검색버튼 선택</t>
    <phoneticPr fontId="3" type="noConversion"/>
  </si>
  <si>
    <t>저장 후 목록, 등록/수정 페이지에서 정확히 표시되는지 확인</t>
    <phoneticPr fontId="3" type="noConversion"/>
  </si>
  <si>
    <t>1. 고객응대관리 &gt; 공지사항
2. 각 입력항목 입력 후 하단 초기화버튼 선택</t>
    <phoneticPr fontId="3" type="noConversion"/>
  </si>
  <si>
    <t>게시물 선택시 상세페이지 이동 확인</t>
    <phoneticPr fontId="3" type="noConversion"/>
  </si>
  <si>
    <t>상단 공지설정 확인</t>
    <phoneticPr fontId="3" type="noConversion"/>
  </si>
  <si>
    <t>각 조건에따라 검색결과가 잘 표시되는지 확인</t>
    <phoneticPr fontId="3" type="noConversion"/>
  </si>
  <si>
    <t>제목, 날짜 내용, 이미지, 이전 다음 페이지 게시물(제목, 날짜) 확인</t>
    <phoneticPr fontId="3" type="noConversion"/>
  </si>
  <si>
    <t xml:space="preserve"> 이전 다음 페이지 게시물(제목, 날짜) 이동 확인</t>
    <phoneticPr fontId="3" type="noConversion"/>
  </si>
  <si>
    <t>공지사항 목록 확인</t>
    <phoneticPr fontId="3" type="noConversion"/>
  </si>
  <si>
    <t>공지사항 상세 확인</t>
    <phoneticPr fontId="3" type="noConversion"/>
  </si>
  <si>
    <t>1. 고객응대관리 &gt; 공지사항
2. 게시물 확인</t>
    <phoneticPr fontId="3" type="noConversion"/>
  </si>
  <si>
    <t>1. 고객응대관리 &gt; 공지사항
2. 게시물 선택 후 상세페이지 조회</t>
    <phoneticPr fontId="3" type="noConversion"/>
  </si>
  <si>
    <t>1. 고객응대관리 &gt; 공지사항
2. 목록에서 검색 및 페이징 이동
3. 게시물 선택
4. 상세 페이지에서 목록으로 이동</t>
    <phoneticPr fontId="3" type="noConversion"/>
  </si>
  <si>
    <t xml:space="preserve"> ABC_04.설계_02.화면설계서_FO_07.고객센터_20190411_v1.04.pptx
 ABC_04.설계_02.화면설계서_MO_07.고객센터_20190322_v1.00.pptx
 ABC_04.설계_02.화면설계서_BO_03_전시_20190425_v2.02</t>
  </si>
  <si>
    <t xml:space="preserve"> ABC_04.설계_02.화면설계서_FO_07.고객센터_20190411_v1.04.pptx
 ABC_04.설계_02.화면설계서_MO_07.고객센터_20190322_v1.00.pptx
 ABC_04.설계_02.화면설계서_BO_00_공통_20190426_v2.02.pptx.pptx</t>
  </si>
  <si>
    <t xml:space="preserve"> ABC_04.설계_02.화면설계서_FO_07.고객센터_20190411_v1.04.pptx
 ABC_04.설계_02.화면설계서_MO_07.고객센터_20190322_v1.00.pptx
 ABC_04.설계_02.화면설계서_BO_00_공통_20190426_v2.02.pptx
 ABC_04.설계_02.화면설계서_BO_01_회원_20190429_v2.02.pptx</t>
  </si>
  <si>
    <t>참조
문서</t>
    <phoneticPr fontId="3" type="noConversion"/>
  </si>
  <si>
    <t>검색기간, 사이트, 전시여부, 검색어 선택후 검색 선택</t>
    <phoneticPr fontId="3" type="noConversion"/>
  </si>
  <si>
    <r>
      <t xml:space="preserve">1. 각 조건에따라 검색결과가 잘 표시되는지 확인
</t>
    </r>
    <r>
      <rPr>
        <sz val="9"/>
        <color rgb="FFFF0000"/>
        <rFont val="맑은 고딕"/>
        <family val="3"/>
        <charset val="129"/>
      </rPr>
      <t>- FAQ의 사이트 구분이 없어도 되는지 확인필요!)</t>
    </r>
    <phoneticPr fontId="3" type="noConversion"/>
  </si>
  <si>
    <t>1. [BO] 대량 데이터 등록
2. 고객센터 &gt; FAQ 게시물 확인</t>
    <phoneticPr fontId="3" type="noConversion"/>
  </si>
  <si>
    <t>검색어, 검색건수, 게시물의 검색어 강조가 정확하게 표시 되는지 확인</t>
    <phoneticPr fontId="3" type="noConversion"/>
  </si>
  <si>
    <t>등록/수정 페이지에서 저장된 게시물이  목록, 등록/수정 페이지에서 정확히 표시되는지 확인</t>
    <phoneticPr fontId="3" type="noConversion"/>
  </si>
  <si>
    <t>FAQ유형, 질문, 답변, 전시여부, TOP 10 설정에 따라 게시물 표시 확인
- 질문 선택시 답변 펼쳐짐/닫힘 기능 확인</t>
    <phoneticPr fontId="3" type="noConversion"/>
  </si>
  <si>
    <t>2차 분류 선택시 게시물 목록이 잘 표시되는지 확인</t>
    <phoneticPr fontId="3" type="noConversion"/>
  </si>
  <si>
    <t xml:space="preserve"> [BO] 매장 등록/수정 &gt; [FO/MO] 매장 찾기 &gt; [FO/MO] 매장목록 &gt; [FO/MO] 매장 상세</t>
    <phoneticPr fontId="3" type="noConversion"/>
  </si>
  <si>
    <r>
      <t>사이트, 제목, 내용, 전시여부, 상단 공지설정에 따라 게시물이 표시 확인</t>
    </r>
    <r>
      <rPr>
        <sz val="9"/>
        <color rgb="FFFF0000"/>
        <rFont val="맑은 고딕"/>
        <family val="3"/>
        <charset val="129"/>
        <scheme val="minor"/>
      </rPr>
      <t xml:space="preserve">
- 공지사항 검색이 없어도 되는지 확인필요!)</t>
    </r>
    <phoneticPr fontId="3" type="noConversion"/>
  </si>
  <si>
    <t>1. 전시관리 &gt; 오프라인 매장관리 
2. 검색 &gt; 페이징 이동 &gt; 게시물 선택</t>
    <phoneticPr fontId="3" type="noConversion"/>
  </si>
  <si>
    <t>하</t>
    <phoneticPr fontId="3" type="noConversion"/>
  </si>
  <si>
    <t>1. 전시관리 &gt; 오프라인 매장관리 
2. 매장 등록/수정 페이지에서 PC, Mobile 배너 등록</t>
    <phoneticPr fontId="3" type="noConversion"/>
  </si>
  <si>
    <t>1. 전시관리 &gt; 오프라인 매장관리 
2. 매장 등록/수정 페이지
3. 지도검색 버튼 선택</t>
    <phoneticPr fontId="3" type="noConversion"/>
  </si>
  <si>
    <t>지도에 정확히 검색되는지 확인</t>
    <phoneticPr fontId="3" type="noConversion"/>
  </si>
  <si>
    <t>매장 등록/수정 페이지에 입력되는지 확인</t>
    <phoneticPr fontId="3" type="noConversion"/>
  </si>
  <si>
    <t xml:space="preserve">매장의 좌표값 직접 입력 </t>
    <phoneticPr fontId="3" type="noConversion"/>
  </si>
  <si>
    <t>검색 조건에 따른 매장목록 건수 및 매장정보 확인</t>
    <phoneticPr fontId="3" type="noConversion"/>
  </si>
  <si>
    <t>검색결과의 첫번째건의 지도를 우측에 표시하는지 확인</t>
    <phoneticPr fontId="3" type="noConversion"/>
  </si>
  <si>
    <t>매장이 정확하게 검색 되는지 확인</t>
    <phoneticPr fontId="3" type="noConversion"/>
  </si>
  <si>
    <t>통합멤버십가입 텍스트와 통합멤버십가입/로그인 버튼 노출</t>
    <phoneticPr fontId="3" type="noConversion"/>
  </si>
  <si>
    <t>단골매장의 정보와 단골매장 설정 버튼 노출</t>
    <phoneticPr fontId="3" type="noConversion"/>
  </si>
  <si>
    <t>단골매장 없음 텍스트와 단골매장설정 버튼 노출</t>
    <phoneticPr fontId="3" type="noConversion"/>
  </si>
  <si>
    <t>1. 단골매장이 등록되지 않은 회원 로그인
2. 전시관리 &gt; 오프라인 매장관리
3. 단골매장 노출확인</t>
    <phoneticPr fontId="3" type="noConversion"/>
  </si>
  <si>
    <t>매장명, 주소, 전화번호, 영업시간, 제공서비스 아이콘 표시 확인</t>
    <phoneticPr fontId="3" type="noConversion"/>
  </si>
  <si>
    <t>매장상세 팝업 노출 확인</t>
    <phoneticPr fontId="3" type="noConversion"/>
  </si>
  <si>
    <t>1. 단골매장이 등록된 회원 로그인
2. 고객센터 &gt; 매장찾기
3. 단골매장 노출확인</t>
    <phoneticPr fontId="3" type="noConversion"/>
  </si>
  <si>
    <t>1. 비로그인 상태
2. 고객센터 &gt; 매장찾기
3. 단골매장 노출확인</t>
    <phoneticPr fontId="3" type="noConversion"/>
  </si>
  <si>
    <t>1. 고객센터 &gt; 매장찾기
2. 매장명, 주소, 제공서비스 아이콘 표시 확인</t>
    <phoneticPr fontId="3" type="noConversion"/>
  </si>
  <si>
    <t>1. 고객센터 &gt; 매장찾기
2. 매장목록/지도 하단의 신규매장 목록 확인</t>
    <phoneticPr fontId="3" type="noConversion"/>
  </si>
  <si>
    <t>1. 고객센터 &gt; 매장찾기
2. 매장전용 상품존 버튼 선택</t>
    <phoneticPr fontId="3" type="noConversion"/>
  </si>
  <si>
    <t>1. 고객센터 &gt; 매장찾기
2. 매장의 상세정보 버튼 선택
3. 매장정보 팝업 확인</t>
    <phoneticPr fontId="3" type="noConversion"/>
  </si>
  <si>
    <t>1. 행사안내 버튼(행사가 있을경에만 노출) 되는지 확인 
2. 행사안내 버튼 선택시 매장 행사 팝업 노출 확인</t>
    <phoneticPr fontId="3" type="noConversion"/>
  </si>
  <si>
    <t>단골매장 노출 확인</t>
    <phoneticPr fontId="3" type="noConversion"/>
  </si>
  <si>
    <t>매장명, 주소, 제공서비스 아이콘 표시 확인</t>
    <phoneticPr fontId="3" type="noConversion"/>
  </si>
  <si>
    <t>로그인 후 1:1상담 페이지 상단 회원정보를 정확하게 불러오는지 확인</t>
    <phoneticPr fontId="3" type="noConversion"/>
  </si>
  <si>
    <t>각 항목 입력 후 접수버튼 선택시 완료 페이지로 이동되는지 확인</t>
    <phoneticPr fontId="3" type="noConversion"/>
  </si>
  <si>
    <t>등록된 게시물 확인</t>
    <phoneticPr fontId="3" type="noConversion"/>
  </si>
  <si>
    <t>로그아웃 상태에서 1:1상담 선택시 &gt; 로그인 성공 후 &gt; 1:1상담 페이지로 재이동되는지 확인</t>
    <phoneticPr fontId="3" type="noConversion"/>
  </si>
  <si>
    <t>검색 조건에 따라 주문했던 상품 노출 확인</t>
    <phoneticPr fontId="3" type="noConversion"/>
  </si>
  <si>
    <t>선택버튼 클릭시 1:1상담 페이지에 상품정보 표시 확인</t>
    <phoneticPr fontId="3" type="noConversion"/>
  </si>
  <si>
    <t>1. 로그아웃 상태
2. 고객센터 &gt; 1:1상담 메뉴 선택</t>
  </si>
  <si>
    <t>1. 로그인 상태
2. 고객센터 &gt; 1:1상담 메뉴 선택</t>
  </si>
  <si>
    <t>1. 고객센터 &gt; 1:1상담
2.  1:1상담 등록</t>
  </si>
  <si>
    <t>1. 고객센터 &gt; 1:1상담
2. 주문상품 조회 버튼 선택</t>
  </si>
  <si>
    <t>1. 고객센터 &gt; 1:1상담
2. AS상품 조회 버튼 선택</t>
    <phoneticPr fontId="3" type="noConversion"/>
  </si>
  <si>
    <t>1. 메인으로 가기 : 메인 이동 확인
2. 나의 상담내역 바로가기 : 마이페이지 &gt; 나의상담내역 페이지 이동 확인</t>
    <phoneticPr fontId="3" type="noConversion"/>
  </si>
  <si>
    <t>검색 조건에 따라 AS상품 노출 확인</t>
    <phoneticPr fontId="3" type="noConversion"/>
  </si>
  <si>
    <t>선택버튼 클릭시 1:1상담 페이지에 접수번호 표시 확인</t>
    <phoneticPr fontId="3" type="noConversion"/>
  </si>
  <si>
    <t>1:1문의 상세 페이지 팝업 노출 확인</t>
    <phoneticPr fontId="3" type="noConversion"/>
  </si>
  <si>
    <t>등록된 정보 확인
- 회원명, 휴대폰번호, 이메일, 문의사이트, 문의구분, 주문번호, AS접수번호, 상품코드, 업체상품코드, 상품명, 입점사코드, 제목, 내용 첨부파일 확인</t>
    <phoneticPr fontId="3" type="noConversion"/>
  </si>
  <si>
    <t>회원명 : 회원상세 팝업이 노출되는지 확인</t>
    <phoneticPr fontId="3" type="noConversion"/>
  </si>
  <si>
    <t>상품명 : 상품명 선택 시 FO 상품 상세 팝업 노출 확인</t>
    <phoneticPr fontId="3" type="noConversion"/>
  </si>
  <si>
    <t>입점사 코드/입점사명 : 입점사 기본정보 (조회/수정) 팝업 노출 확인</t>
    <phoneticPr fontId="3" type="noConversion"/>
  </si>
  <si>
    <t>첨부파일 : 첨부파일 다운로드 확인</t>
    <phoneticPr fontId="3" type="noConversion"/>
  </si>
  <si>
    <r>
      <t xml:space="preserve">주문번호 : 주문상세 팝업이 노출되는지 확인
</t>
    </r>
    <r>
      <rPr>
        <sz val="9"/>
        <color rgb="FFFF0000"/>
        <rFont val="맑은 고딕"/>
        <family val="3"/>
        <charset val="129"/>
        <scheme val="minor"/>
      </rPr>
      <t>- 주문번호 수정기능 필요 확인!!</t>
    </r>
    <phoneticPr fontId="3" type="noConversion"/>
  </si>
  <si>
    <r>
      <t xml:space="preserve">AS접수번호 : AS상세팝업 노출 확인
</t>
    </r>
    <r>
      <rPr>
        <sz val="9"/>
        <color rgb="FFFF0000"/>
        <rFont val="맑은 고딕"/>
        <family val="3"/>
        <charset val="129"/>
        <scheme val="minor"/>
      </rPr>
      <t>- AS접수번호 수정기능 필요 확인!!</t>
    </r>
    <phoneticPr fontId="3" type="noConversion"/>
  </si>
  <si>
    <t>답변상태 : 답변시 답변 상태로 변경되는지 확인</t>
    <phoneticPr fontId="3" type="noConversion"/>
  </si>
  <si>
    <t>첨부파일 : 파일첨부 등록/수정/삭제 기능 확인</t>
    <phoneticPr fontId="3" type="noConversion"/>
  </si>
  <si>
    <r>
      <t xml:space="preserve">담당업체이관 : 상품에 한해 입점업체일경우 이관에 체크 여부 확인 
</t>
    </r>
    <r>
      <rPr>
        <sz val="9"/>
        <color rgb="FFFF0000"/>
        <rFont val="맑은 고딕"/>
        <family val="3"/>
        <charset val="129"/>
        <scheme val="minor"/>
      </rPr>
      <t>- 입점사 답변 가능여부 확인 
- 입점사 답변시 관리자 수정가능여부 확인</t>
    </r>
    <phoneticPr fontId="3" type="noConversion"/>
  </si>
  <si>
    <t>답변보류 : FO’화면에 답변보류 자동 노출 확인</t>
    <phoneticPr fontId="3" type="noConversion"/>
  </si>
  <si>
    <t>답변완료</t>
    <phoneticPr fontId="3" type="noConversion"/>
  </si>
  <si>
    <t>1:1문의관리 목록 이동 확인</t>
    <phoneticPr fontId="3" type="noConversion"/>
  </si>
  <si>
    <t>1. [BO] 공통관리 &gt; 상담스크립트설정 &gt; 고객알림설정설정에 따라 
2. 고객에게 알림 발송여부 확인
- SMS, 이메일, 발송안함 설정</t>
    <phoneticPr fontId="3" type="noConversion"/>
  </si>
  <si>
    <t>업체상품코드 : 상품이 업체상품인 경우에만 업체상품코드 팝업 노출 확인</t>
    <phoneticPr fontId="3" type="noConversion"/>
  </si>
  <si>
    <t>1. [FO] 고객센터 &gt; 1:1문의 등록(고객)
2. [BO] 고객응대관리 &gt; 1:1문의관리 &gt; 답변 상태에 따라
3. [BO] 회원관리 &gt; 회원정보 회원정보 탭</t>
    <phoneticPr fontId="3" type="noConversion"/>
  </si>
  <si>
    <t>답변 상태에 따라 건수가 정확하게 표시되는지 확인
1. 답변/미답변 건수
2. 답변보류 건수</t>
    <phoneticPr fontId="3" type="noConversion"/>
  </si>
  <si>
    <t>1. [FO] 고객센터 &gt; 1:1문의 등록(고객)
2. [BO] 고객응대관리 &gt; 1:1문의관리 &gt; 관리자 메모 작성
3. [BO] 회원관리 &gt; 회원정보 회원정보 탭</t>
    <phoneticPr fontId="3" type="noConversion"/>
  </si>
  <si>
    <t>답변 상태에 따라 등록된 관리자메모가 정확하게 표시되는지 확인</t>
    <phoneticPr fontId="3" type="noConversion"/>
  </si>
  <si>
    <t>상단 문의현황의 미답변, 답변보류, 답변완료, 합계 건수 확인</t>
    <phoneticPr fontId="3" type="noConversion"/>
  </si>
  <si>
    <t>1. [FO] 고객센터 &gt; 1:1문의 등록(고객)
2. [BO] 회원관리 &gt; 회원선택
3. 문의내역 탭 확인</t>
    <phoneticPr fontId="3" type="noConversion"/>
  </si>
  <si>
    <t>1. 시스템관리 &gt; 상담스크립트관리
2. 상담스크립트 등록/수정
3. 고객응대관리 &gt; 문의관리
4. 상담스크립트 확인</t>
    <phoneticPr fontId="3" type="noConversion"/>
  </si>
  <si>
    <t>목록 기능 확인</t>
    <phoneticPr fontId="3" type="noConversion"/>
  </si>
  <si>
    <t>문의구분 : 수정이 가능한지 확인</t>
    <phoneticPr fontId="3" type="noConversion"/>
  </si>
  <si>
    <t xml:space="preserve">  [BO] 고객응대관리 &gt; 공지사항 
   - 게시물 등록
   - 이미지 등록 및 첨부파일 등록
   - 게시물 대량 등록</t>
    <phoneticPr fontId="3" type="noConversion"/>
  </si>
  <si>
    <t xml:space="preserve">  [BO] 전시관리 &gt; 오프라인 매장관리 
   - 매장 등록</t>
    <phoneticPr fontId="3" type="noConversion"/>
  </si>
  <si>
    <t xml:space="preserve"> [FO/MO] 1:1상담 등록 &gt; [BO] 상담스크립트관리 &gt; [BO] 관리자 답변 &gt; [BO] 알림 &gt; [FO/MO] 마이페이지 1:1문의 확인</t>
    <phoneticPr fontId="3" type="noConversion"/>
  </si>
  <si>
    <t>1. 마이페이지 &gt; 나의 상담내역 확인</t>
    <phoneticPr fontId="3" type="noConversion"/>
  </si>
  <si>
    <t>FO</t>
  </si>
  <si>
    <t>[MO] 마이페이지 1:1문의 확인</t>
    <phoneticPr fontId="3" type="noConversion"/>
  </si>
  <si>
    <t>[FO] 마이페이지 1:1문의 확인</t>
    <phoneticPr fontId="3" type="noConversion"/>
  </si>
  <si>
    <t>1. [BO] 답변완료
2. [FO] 마이페이지 &gt; 1:1문의 
3. 답변완료된 게시물 확인</t>
    <phoneticPr fontId="3" type="noConversion"/>
  </si>
  <si>
    <t>1. [BO] 답변완료
2. [MO] 마이페이지 &gt; 1:1문의 
3. 답변완료된 게시물 확인</t>
    <phoneticPr fontId="3" type="noConversion"/>
  </si>
  <si>
    <t>관리자 답변 확인</t>
    <phoneticPr fontId="3" type="noConversion"/>
  </si>
  <si>
    <t>1. 상담스크립트 등록/수정 페이지
- 상담구분, 스크립트제목, 내용, 고객알림설정, 사용여부 등록/수정 시 
2. 고객응대관리 &gt;1:1문의관리에서 상담스크립트가 정상적으로 출력되는지 확인</t>
    <phoneticPr fontId="3" type="noConversion"/>
  </si>
  <si>
    <t>문의내역 탭 정보 확인</t>
    <phoneticPr fontId="3" type="noConversion"/>
  </si>
  <si>
    <t>회원정보 탭 문의관련 정보 확인</t>
    <phoneticPr fontId="3" type="noConversion"/>
  </si>
  <si>
    <t>1. [FO] 고객센터 &gt; 고객의소리 등록(고객)
2. [BO] 고객응대관리 &gt; 고객의소리 관리 &gt; 관리자 메모 작성
3. [BO] 회원관리 &gt; 회원정보 회원정보 탭</t>
    <phoneticPr fontId="3" type="noConversion"/>
  </si>
  <si>
    <t>1. [FO] 고객센터 &gt; 고객의소리 등록(고객)
2. [BO] 회원관리 &gt; 회원선택
3. 문의내역 탭 확인</t>
    <phoneticPr fontId="3" type="noConversion"/>
  </si>
  <si>
    <t>1. 하단 &gt; 문의내역 게시물 확인
2. 게시물 선택시 상세페이지 확인
- 기능 : 고객의소리 관리와 동일</t>
    <phoneticPr fontId="3" type="noConversion"/>
  </si>
  <si>
    <t>1. [FO] 고객센터 &gt; 고객의소리 등록(고객)
2. [BO] 고객응대관리 &gt; 고객의소리 관리 &gt; 답변 상태에 따라
3. [BO] 회원관리 &gt; 회원정보 회원정보 탭</t>
    <phoneticPr fontId="3" type="noConversion"/>
  </si>
  <si>
    <t>고객의소리 관리 목록 이동 확인</t>
    <phoneticPr fontId="3" type="noConversion"/>
  </si>
  <si>
    <t>답변보류 : FO’화면에 문구 자동 노출 확인</t>
    <phoneticPr fontId="3" type="noConversion"/>
  </si>
  <si>
    <t>회원명, 휴대폰번호, 이메일, 문의사이트, 문의유형, 제목, 내용  확인</t>
    <phoneticPr fontId="3" type="noConversion"/>
  </si>
  <si>
    <t>고객의소리 이동 및 회원정보 로딩</t>
    <phoneticPr fontId="3" type="noConversion"/>
  </si>
  <si>
    <t>1. 로그아웃 상태
2. 고객센터 &gt; 고객의소리 메뉴 선택</t>
    <phoneticPr fontId="3" type="noConversion"/>
  </si>
  <si>
    <t>로그아웃 상태에서 고객의소리 선택시 &gt; 로그인 성공 후 &gt; 고객의소리 페이지로 재이동되는지 확인</t>
    <phoneticPr fontId="3" type="noConversion"/>
  </si>
  <si>
    <t>로그인 후 고객의소리 페이지 상단 회원정보를 정확하게 불러오는지 확인</t>
    <phoneticPr fontId="3" type="noConversion"/>
  </si>
  <si>
    <t>1. 로그인 상태
2. 고객센터 &gt; 고객의소리 메뉴 선택</t>
    <phoneticPr fontId="3" type="noConversion"/>
  </si>
  <si>
    <t>1. 로그인 상태
2. 고객센터 &gt; 고객의소리 등록</t>
    <phoneticPr fontId="3" type="noConversion"/>
  </si>
  <si>
    <t>각 항목 입력 후 접수버튼 선택시 완료 페이지로 이동되는지 확인</t>
    <phoneticPr fontId="3" type="noConversion"/>
  </si>
  <si>
    <t>1. [BO] &gt; 고객응대관리 &gt; 고객의소리 게시물 확인</t>
    <phoneticPr fontId="3" type="noConversion"/>
  </si>
  <si>
    <t>고객의소리 상세 페이지 팝업 노출 확인</t>
    <phoneticPr fontId="3" type="noConversion"/>
  </si>
  <si>
    <t>1. 상담스크립트 등록/수정 페이지
- 상담구분, 스크립트제목, 내용, 고객알림설정, 사용여부 등록/수정 시 
2. 고객응대관리 &gt;고객의소리 관리에서 상담스크립트가 정상적으로 출력되는지 확인</t>
    <phoneticPr fontId="3" type="noConversion"/>
  </si>
  <si>
    <t>FAQ</t>
    <phoneticPr fontId="3" type="noConversion"/>
  </si>
  <si>
    <t>공지사항</t>
    <phoneticPr fontId="3" type="noConversion"/>
  </si>
  <si>
    <t>BO</t>
  </si>
  <si>
    <t>매장 찾기</t>
    <phoneticPr fontId="3" type="noConversion"/>
  </si>
  <si>
    <t>1:1상담</t>
    <phoneticPr fontId="3" type="noConversion"/>
  </si>
  <si>
    <t>고객의소리</t>
    <phoneticPr fontId="3" type="noConversion"/>
  </si>
  <si>
    <r>
      <t xml:space="preserve">매장 배너 등록 / 수정 확인
- FO, MO에서 배너가 표시되는지 확인 : </t>
    </r>
    <r>
      <rPr>
        <sz val="9"/>
        <color rgb="FFFF0000"/>
        <rFont val="맑은 고딕"/>
        <family val="3"/>
        <charset val="129"/>
        <scheme val="minor"/>
      </rPr>
      <t>FO/MO 에서 매장의 상세정보 팝업의 배너 이외 매장 배너 노출 위치 확인!!</t>
    </r>
    <phoneticPr fontId="3" type="noConversion"/>
  </si>
  <si>
    <r>
      <t xml:space="preserve">매장명 검색으로 좌표값이 X, Y 좌표 인풋박스에 자동으로 불러오는지 확인
</t>
    </r>
    <r>
      <rPr>
        <sz val="9"/>
        <color rgb="FFFF0000"/>
        <rFont val="맑은 고딕"/>
        <family val="3"/>
        <charset val="129"/>
        <scheme val="minor"/>
      </rPr>
      <t>- 네이버 지도에 매장이 등록되지 않은 경우 X, Y좌표값 직접입력 형태인지 확인!!</t>
    </r>
    <phoneticPr fontId="3" type="noConversion"/>
  </si>
  <si>
    <t>1. 고객응대관리 &gt; FAQ 
2. 각 입력항목 입력 후 하단 초기화 버튼 선택
3. 하단 초기화 버튼 선택</t>
    <phoneticPr fontId="3" type="noConversion"/>
  </si>
  <si>
    <t>게시물 확인</t>
  </si>
  <si>
    <t>1. 고객센터 &gt; FAQ
2. 각 FAQ유형 탭 선택시 해당 게시물 목록 확인
3. 각 FAQ유형 탭 선택</t>
    <phoneticPr fontId="3" type="noConversion"/>
  </si>
  <si>
    <t>사이트</t>
    <phoneticPr fontId="3" type="noConversion"/>
  </si>
  <si>
    <t>A-RT</t>
    <phoneticPr fontId="3" type="noConversion"/>
  </si>
  <si>
    <t>게시물 목록의 기능이 정확히 구현되는지 확인</t>
  </si>
  <si>
    <t>게시물 목록의 기능이 정확히 구현되는지 확인
- 게시물 갯수, 소팅, 페이징</t>
  </si>
  <si>
    <t>게시물 목록의 기능이 정확히 구현되는지 확인</t>
    <phoneticPr fontId="3" type="noConversion"/>
  </si>
  <si>
    <t>검색어 입력 후 검색버튼 선택</t>
    <phoneticPr fontId="3" type="noConversion"/>
  </si>
  <si>
    <t>검색어에따라 검색결과가 잘 표시되는지 확인(검색어 : 질문, 답변)
- 검색했을 경우에도 TOP 10게시물이 먼저 표시되는지 확인</t>
    <phoneticPr fontId="3" type="noConversion"/>
  </si>
  <si>
    <t>1. 고객센터 &gt; FAQ
2. 각 FAQ유형 탭 선택시 해당 게시물 목록 확인
3. 각 FAQ유형 탭 선택
4. 2차 분류 선택</t>
    <phoneticPr fontId="3" type="noConversion"/>
  </si>
  <si>
    <t>1. 고객센터 &gt; FAQ
2. 각 FAQ유형 탭 선택시 해당 게시물 목록 확인
3. 각 FAQ유형 탭 선택
4. FAQ탭 선택후 검색</t>
    <phoneticPr fontId="3" type="noConversion"/>
  </si>
  <si>
    <t>1. 고객센터 &gt; FAQ
2. 각 FAQ유형 탭 선택시 해당 게시물 목록 확인
3. 각 FAQ유형 탭 선택
4. 자주묻는질문 BEST10 버튼 선택</t>
    <phoneticPr fontId="3" type="noConversion"/>
  </si>
  <si>
    <t>OTS</t>
    <phoneticPr fontId="3" type="noConversion"/>
  </si>
  <si>
    <t>IT-CS-001-001</t>
    <phoneticPr fontId="3" type="noConversion"/>
  </si>
  <si>
    <t>IT-CS-001-002</t>
  </si>
  <si>
    <t>IT-CS-001-003</t>
  </si>
  <si>
    <t>IT-CS-001-004</t>
  </si>
  <si>
    <t>IT-CS-001-005</t>
  </si>
  <si>
    <t>IT-CS-001-006</t>
  </si>
  <si>
    <t xml:space="preserve"> ABC_04.설계_02.화면설계서_FO_07.고객센터_20190411_v1.04.pptx
 ABC_04.설계_02.화면설계서_MO_07.고객센터_20190322_v1.00.pptx
 ABC_04.설계_02.화면설계서_BO_00_공통_20190426_v2.02.pptx</t>
    <phoneticPr fontId="3" type="noConversion"/>
  </si>
  <si>
    <t>공지사항 등록/수정</t>
    <phoneticPr fontId="3" type="noConversion"/>
  </si>
  <si>
    <t xml:space="preserve"> FAQ 등록/수정</t>
    <phoneticPr fontId="3" type="noConversion"/>
  </si>
  <si>
    <t>FAQ 검색 확인</t>
    <phoneticPr fontId="3" type="noConversion"/>
  </si>
  <si>
    <t>IT-CS-002-001</t>
    <phoneticPr fontId="3" type="noConversion"/>
  </si>
  <si>
    <t>IT-CS-002-002</t>
  </si>
  <si>
    <t>IT-CS-002-003</t>
  </si>
  <si>
    <t>IT-CS-002-004</t>
  </si>
  <si>
    <t>IT-CS-002-005</t>
  </si>
  <si>
    <t>IT-CS-002-006</t>
  </si>
  <si>
    <t>IT-CS-002-007</t>
  </si>
  <si>
    <t>IT-CS-002-008</t>
  </si>
  <si>
    <t>IT-CS-003-002</t>
  </si>
  <si>
    <t>IT-CS-003-003</t>
  </si>
  <si>
    <t>IT-CS-003-004</t>
  </si>
  <si>
    <t>IT-CS-003-005</t>
  </si>
  <si>
    <t>IT-CS-004-001</t>
    <phoneticPr fontId="3" type="noConversion"/>
  </si>
  <si>
    <t>IT-CS-004-002</t>
  </si>
  <si>
    <t>IT-CS-004-003</t>
  </si>
  <si>
    <t>IT-CS-004-004</t>
  </si>
  <si>
    <t>IT-CS-004-005</t>
  </si>
  <si>
    <t>IT-CS-004-006</t>
  </si>
  <si>
    <t>IT-CS-004-007</t>
  </si>
  <si>
    <t>IT-CS-004-008</t>
  </si>
  <si>
    <t>IT-CS-005-001</t>
    <phoneticPr fontId="3" type="noConversion"/>
  </si>
  <si>
    <t>IT-CS-005-002</t>
  </si>
  <si>
    <t>IT-CS-005-003</t>
  </si>
  <si>
    <t>IT-CS-005-004</t>
  </si>
  <si>
    <t>IT-CS-005-005</t>
  </si>
  <si>
    <t>IT-CS-005-006</t>
  </si>
  <si>
    <t>IT-CS-005-007</t>
  </si>
  <si>
    <t>IT-CS-005-008</t>
  </si>
  <si>
    <t>FAQ 게시물 확인</t>
    <phoneticPr fontId="3" type="noConversion"/>
  </si>
  <si>
    <t xml:space="preserve"> FAQ 목록 확인</t>
    <phoneticPr fontId="3" type="noConversion"/>
  </si>
  <si>
    <t>1. 고객응대관리 &gt; FAQ 
2. 검색 &gt; 페이징 이동 &gt; 게시물 선택 &gt; 상세
3. 목록페이지 재이동</t>
    <phoneticPr fontId="3" type="noConversion"/>
  </si>
  <si>
    <t>목록으로 재이동시 기존 목록의 페이징과 검색 조건이 그대로 인지 확인</t>
    <phoneticPr fontId="3" type="noConversion"/>
  </si>
  <si>
    <t>1. 고객응대관리 &gt; 공지사항
2. 검색 &gt; 페이징 이동 &gt; 게시물 선택 &gt; 상세
3. 목록페이지 재이동</t>
    <phoneticPr fontId="3" type="noConversion"/>
  </si>
  <si>
    <t>목록으로 재이동시 기존 목록의 페이징과 검색 조건이 그대로 인지 확인</t>
    <phoneticPr fontId="3" type="noConversion"/>
  </si>
  <si>
    <t>1. 고객응대관리 &gt; 공지사항
2. 사이트, 제목, 내용, 전시여부, 상단 공지설정 입력 후 하단 저장버튼 선택</t>
    <phoneticPr fontId="3" type="noConversion"/>
  </si>
  <si>
    <t>1. [BO] 대량 데이터 등록
2. 고객센터 &gt; 공지사항 게시물 확인
3. 검색어 입력 후 검색버튼 선택</t>
    <phoneticPr fontId="3" type="noConversion"/>
  </si>
  <si>
    <t>1. 고객응대관리 &gt; 공지사항
2. 게시물 선택 후 상세페이지 조회
3. 이전 다음 페이지 게시물 선택</t>
    <phoneticPr fontId="3" type="noConversion"/>
  </si>
  <si>
    <t>공지사항 목록 확인</t>
    <phoneticPr fontId="3" type="noConversion"/>
  </si>
  <si>
    <t>1. 전시관리 &gt; 오프라인 매장관리 
2. 매장검색
- 사이트, 전시여부, 매장제공서비스, 매장형태, 매장픽업가능여부, 임직원가 구매가능여부, 지역구분, 검색어 선택후 검색 선택</t>
    <phoneticPr fontId="3" type="noConversion"/>
  </si>
  <si>
    <t>1. 고객응대관리 &gt; 공지사항
2. 게시물 목록 기능 확인
- 게시물 갯수, 소팅, 페이징 선택
- 게시물 선택</t>
    <phoneticPr fontId="3" type="noConversion"/>
  </si>
  <si>
    <t>1. 고객응대관리 &gt; FAQ 
2. 게시물 목록 기능 확인
- 게시물 갯수, 소팅, 페이징 선택
- 게시물 선택</t>
    <phoneticPr fontId="3" type="noConversion"/>
  </si>
  <si>
    <t>1. 전시관리 &gt; 오프라인 매장관리
2. 게시물 목록 기능 확인
- 게시물 갯수, 소팅, 페이징 선택
- 게시물 선택</t>
    <phoneticPr fontId="3" type="noConversion"/>
  </si>
  <si>
    <t>매장 목록 확인</t>
    <phoneticPr fontId="3" type="noConversion"/>
  </si>
  <si>
    <t>매장  등록/수정</t>
    <phoneticPr fontId="3" type="noConversion"/>
  </si>
  <si>
    <t>1. 전시관리 &gt; 오프라인 매장관리 
2.  각 입력항목 입력 후 하단 저장버튼 선택
- 사이트, 전시여부, 매장명, 전화번호 ~ 영업중단여부까지 각 항목</t>
    <phoneticPr fontId="3" type="noConversion"/>
  </si>
  <si>
    <t>등록/수정 페이지에서 저장 후 목록 페이지, 등록/수정 페이지에서 정확히 표시되는지 확인</t>
    <phoneticPr fontId="3" type="noConversion"/>
  </si>
  <si>
    <t>매장 배너 확인</t>
    <phoneticPr fontId="3" type="noConversion"/>
  </si>
  <si>
    <t>매장명 입력 후 검색</t>
    <phoneticPr fontId="3" type="noConversion"/>
  </si>
  <si>
    <t>1. 전시관리 &gt; 오프라인 매장관리 
2. 매장 등록/수정 페이지</t>
    <phoneticPr fontId="3" type="noConversion"/>
  </si>
  <si>
    <t>1. 전시관리 &gt; 오프라인 매장관리 
2. 매장 등록/수정 페이지
3. 매장키워드검색 버튼 선택
4. 오프라인매장 지도 키워드 검색 팝업창</t>
    <phoneticPr fontId="3" type="noConversion"/>
  </si>
  <si>
    <t>매장 키워드 입력</t>
    <phoneticPr fontId="3" type="noConversion"/>
  </si>
  <si>
    <t>1. 고객센터 &gt; 매장찾기
2. 지역1-지역2, 매장구분, 제공서비스, 매장명 입력
3 검색조건 입력 후 검색버튼 선택</t>
    <phoneticPr fontId="3" type="noConversion"/>
  </si>
  <si>
    <t>매장찾기 검색 확인</t>
    <phoneticPr fontId="3" type="noConversion"/>
  </si>
  <si>
    <t>매장 목록 정보 확인</t>
    <phoneticPr fontId="3" type="noConversion"/>
  </si>
  <si>
    <t>신규 매장 목록 확인</t>
    <phoneticPr fontId="3" type="noConversion"/>
  </si>
  <si>
    <t>1. 고객센터 &gt; 매장찾기
2. 매장목록/지도 하단의 신규매장 목록 확인
3. 상세정보 버튼 선택</t>
    <phoneticPr fontId="3" type="noConversion"/>
  </si>
  <si>
    <t>1. 고객센터 &gt; 매장찾기
2. 매장목록/지도 하단의 신규매장 목록 확인
3. 행사안내 버튼 선택시</t>
    <phoneticPr fontId="3" type="noConversion"/>
  </si>
  <si>
    <r>
      <t xml:space="preserve">매장목록/지도 하단의 신규매장 정보(매장명, 주소, 전화번호, 오픈일 확인
</t>
    </r>
    <r>
      <rPr>
        <sz val="9"/>
        <color rgb="FFFF0000"/>
        <rFont val="맑은 고딕"/>
        <family val="3"/>
        <charset val="129"/>
        <scheme val="minor"/>
      </rPr>
      <t>- 신규매장의 조건 확인
(조건없이 최신 등록된 4건인지? or 검색된 매장의 동일지역 매장 최신 4건인지?)</t>
    </r>
    <phoneticPr fontId="3" type="noConversion"/>
  </si>
  <si>
    <t>1. 고객센터 &gt; 매장찾기 &gt; 매장 선택
2. 우측 지도에서 매장핀 선택</t>
  </si>
  <si>
    <t>1. 고객센터 &gt; 매장찾기 &gt; 매장 선택
2. 우측 지도에서 매장핀 선택</t>
    <phoneticPr fontId="3" type="noConversion"/>
  </si>
  <si>
    <t>1. 고객센터 &gt; 매장찾기 &gt; 매장 선택
2. 상세정보 버튼 선택</t>
    <phoneticPr fontId="3" type="noConversion"/>
  </si>
  <si>
    <t>1. 고객센터 &gt; 매장찾기 &gt; 매장 선택
2. 매장의 상세정보 버튼 선택
3. 매장정보 팝업 확인</t>
    <phoneticPr fontId="3" type="noConversion"/>
  </si>
  <si>
    <t xml:space="preserve">1. 고객센터 &gt; 매장찾기 &gt; 매장 선택
2. 상세정보 버튼 선택시 </t>
    <phoneticPr fontId="3" type="noConversion"/>
  </si>
  <si>
    <t>IT-CS-006-001</t>
    <phoneticPr fontId="3" type="noConversion"/>
  </si>
  <si>
    <t>IT-CS-010-001</t>
    <phoneticPr fontId="3" type="noConversion"/>
  </si>
  <si>
    <t>IT-CS-011-001</t>
    <phoneticPr fontId="3" type="noConversion"/>
  </si>
  <si>
    <t>IT-CS-011-002</t>
  </si>
  <si>
    <t>IT-CS-011-003</t>
  </si>
  <si>
    <t>IT-CS-011-004</t>
  </si>
  <si>
    <t>IT-CS-011-005</t>
  </si>
  <si>
    <t>IT-CS-011-006</t>
  </si>
  <si>
    <t>IT-CS-012-001</t>
    <phoneticPr fontId="3" type="noConversion"/>
  </si>
  <si>
    <t>IT-CS-012-002</t>
  </si>
  <si>
    <t>IT-CS-012-003</t>
  </si>
  <si>
    <t>IT-CS-012-004</t>
  </si>
  <si>
    <t>IT-CS-012-005</t>
  </si>
  <si>
    <t>IT-CS-012-006</t>
  </si>
  <si>
    <t>IT-CS-012-007</t>
  </si>
  <si>
    <t>IT-CS-012-008</t>
  </si>
  <si>
    <t>IT-CS-012-009</t>
  </si>
  <si>
    <t>IT-CS-012-010</t>
  </si>
  <si>
    <t>IT-CS-012-011</t>
  </si>
  <si>
    <t>IT-CS-012-012</t>
  </si>
  <si>
    <t>IT-CS-012-013</t>
  </si>
  <si>
    <t>IT-CS-013-001</t>
    <phoneticPr fontId="3" type="noConversion"/>
  </si>
  <si>
    <t>IT-CS-013-002</t>
  </si>
  <si>
    <t>IT-CS-013-003</t>
  </si>
  <si>
    <t>IT-CS-013-004</t>
  </si>
  <si>
    <t>IT-CS-014-001</t>
    <phoneticPr fontId="3" type="noConversion"/>
  </si>
  <si>
    <t>1:1상담 이동 및 회원정보 로딩</t>
    <phoneticPr fontId="3" type="noConversion"/>
  </si>
  <si>
    <t>1. 고객센터 &gt; 1:1상담
2. 주문상품 조회 버튼 선택
3. 상품 선택</t>
    <phoneticPr fontId="3" type="noConversion"/>
  </si>
  <si>
    <t>1. 고객센터 &gt; 1:1상담
2. AS상품 조회 버튼 선택
3. AS 게시물 선택</t>
    <phoneticPr fontId="3" type="noConversion"/>
  </si>
  <si>
    <t>1. 고객센터 &gt; 1:1상담
2. 등록완료
3. 메인으로 가기, 나의 상담내역 바로가기 버튼 선택</t>
    <phoneticPr fontId="3" type="noConversion"/>
  </si>
  <si>
    <t>1. [BO] &gt; 고객응대관리 &gt; 1:1문의관리 
2. 게시물 확인</t>
    <phoneticPr fontId="3" type="noConversion"/>
  </si>
  <si>
    <t>BO</t>
    <phoneticPr fontId="3" type="noConversion"/>
  </si>
  <si>
    <t>1:1상담 완료</t>
    <phoneticPr fontId="3" type="noConversion"/>
  </si>
  <si>
    <t>MO</t>
    <phoneticPr fontId="3" type="noConversion"/>
  </si>
  <si>
    <t>1. 고객응대관리 &gt; 1:1문의관리
2. 게시물 선택
3. 상세 팝업 
4. 관리자메모 작성 후 저장</t>
    <phoneticPr fontId="3" type="noConversion"/>
  </si>
  <si>
    <t>답변 스크립트, 답변내용, 첨부파일, 담당업체 이관 기능, 답변보류 작성 후 저장</t>
    <phoneticPr fontId="3" type="noConversion"/>
  </si>
  <si>
    <t>1. 고객응대관리 &gt; 1:1문의관리
2. 검색조건 선택후 검색버튼 선택
- 분류, 기간검색, 답변상태, 문의구분, 담당업체, 검색어</t>
    <phoneticPr fontId="3" type="noConversion"/>
  </si>
  <si>
    <t>1. 고객응대관리 &gt; 1:1문의관리
2. 게시물 목록 확인 &gt; 게시물 선택</t>
    <phoneticPr fontId="3" type="noConversion"/>
  </si>
  <si>
    <t>상담유형, 상담할 주문상품, 상담할 AS상품, 제목, 내용, 파일첨부 등록</t>
    <phoneticPr fontId="3" type="noConversion"/>
  </si>
  <si>
    <t>1. 고객응대관리 &gt; 1:1문의관리
2. 게시물 선택 &gt; 1:1문의 상세 팝업 
3. 답변관리 &gt; 답변 작성 후 저장</t>
    <phoneticPr fontId="3" type="noConversion"/>
  </si>
  <si>
    <t>1. 고객응대관리 &gt; 1:1문의관리
2. 게시물 선택 &gt; 1:1문의 상세 팝업 
3. 등록정보 확인</t>
    <phoneticPr fontId="3" type="noConversion"/>
  </si>
  <si>
    <t>1. 시스템관리 &gt; 상담스크립트관리
2. 상담스크립트 등록,수정 
3. 고객응대관리 &gt; 문의관리
4. 등록,수정 된 상담스크립트 확인</t>
    <phoneticPr fontId="3" type="noConversion"/>
  </si>
  <si>
    <t>게시물 선택시 상세페이지 확인
- 기능 : 1:1문의관리와 동일</t>
    <phoneticPr fontId="3" type="noConversion"/>
  </si>
  <si>
    <t>1. [FO] 고객센터 &gt; 1:1문의 등록
2. [BO] 회원관리 &gt; 회원선택
3. 문의내역 탭 확인 &gt; 하단 &gt; 문의내역 게시물 확인</t>
    <phoneticPr fontId="3" type="noConversion"/>
  </si>
  <si>
    <t xml:space="preserve"> 1. [BO] 공통관리 &gt; 상담스크립트 관리
   - 상담스크립트 등록 : 알림 설정 필수
 2. 고객 계정중 상품주문 및 AS 신청이 되어있는 계정
   - 알림 설정(SMS, 이메일)에 따라 알림을 받을수 있어야 함
 3. 1:1상담 샘플 데이터 등록 </t>
    <phoneticPr fontId="3" type="noConversion"/>
  </si>
  <si>
    <t xml:space="preserve"> 1. [BO] 공통관리 &gt; 상담스크립트 관리
   - 상담스크립트 등록 : 알림 설정 필수
 2. 고객 계정 
   - 알림 설정(SMS, 이메일)에 따라 알림을 받을수 있어야 함
 3. 고객의소리 샘플 데이터 등록 </t>
    <phoneticPr fontId="3" type="noConversion"/>
  </si>
  <si>
    <t>의견유형, 제목, 내용, 파일첨부 후 저장</t>
    <phoneticPr fontId="3" type="noConversion"/>
  </si>
  <si>
    <t>1. 고객응대관리 &gt; 고객의소리 관리
2. 검색조건 선택후 검색버튼 선택
- 기간검색, 답변상태, 유형, 검색어 선택후 검색 선택</t>
    <phoneticPr fontId="3" type="noConversion"/>
  </si>
  <si>
    <t>1. 고객응대관리 &gt; 고객의소리 관리
2. 게시물 목록 기능 확인
- 게시물 갯수, 소팅, 페이징 선택</t>
    <phoneticPr fontId="3" type="noConversion"/>
  </si>
  <si>
    <t>1. 고객응대관리 &gt; 1:1문의관리
2. 게시물 목록 기능 확인
- 게시물 갯수, 소팅, 페이징 선택</t>
    <phoneticPr fontId="3" type="noConversion"/>
  </si>
  <si>
    <t>1. 고객응대관리 &gt; 고객의소리 관리
2. 게시물 선택</t>
    <phoneticPr fontId="3" type="noConversion"/>
  </si>
  <si>
    <t>답변상태, 답변 스크립트, 답변내용, 답변보류 작성 후 저장</t>
    <phoneticPr fontId="3" type="noConversion"/>
  </si>
  <si>
    <t>1. 고객응대관리 &gt; 고객의소리 관리
2. 게시물 선택 &gt; 고객의소리 상세 팝업 
3. 답변관리 &gt; 스크립트 제목 선택</t>
    <phoneticPr fontId="3" type="noConversion"/>
  </si>
  <si>
    <t>1. 고객응대관리 &gt; 고객의소리 관리
2. 게시물 선택 &gt; 고객의소리 상세 팝업 &gt; 답변관리
2. 답변 작성 후 저장</t>
    <phoneticPr fontId="3" type="noConversion"/>
  </si>
  <si>
    <t>1. 고객응대관리 &gt; 고객의소리 관리
2. 게시물 선택 &gt; 고객의소리 상세 팝업 &gt; 답변관리 
3. 하단 답변보류 체크 후 저장
4. FO &gt; 마이페이지 &gt; 고객의소리 &gt; 게시물 확인</t>
    <phoneticPr fontId="3" type="noConversion"/>
  </si>
  <si>
    <t>1. 고객응대관리 &gt; 고객의소리 관리
2. 게시물 선택 &gt; 고객의소리 상세 팝업 &gt; 답변관리 &gt; 답변완료</t>
    <phoneticPr fontId="3" type="noConversion"/>
  </si>
  <si>
    <t>1. 고객응대관리 &gt; 고객의소리 관리
2. 게시물 선택 &gt; 고객의소리 상세 팝업 &gt; 답변관리 &gt;관리자메모</t>
    <phoneticPr fontId="3" type="noConversion"/>
  </si>
  <si>
    <t>상품상세  팝업 노출 확인</t>
    <phoneticPr fontId="3" type="noConversion"/>
  </si>
  <si>
    <t xml:space="preserve">1. 고객응대관리 &gt; 1:1문의관리
2. 게시물 선택 &gt; 1:1문의 상세 팝업 
3. 우측 상품코드 선택 </t>
    <phoneticPr fontId="3" type="noConversion"/>
  </si>
  <si>
    <t>1. 고객응대관리 &gt; 고객의소리 관리
2. 게시물 선택 &gt; 고객의소리 상세 팝업 &gt; 답변관리
2. 답변스크립트 선택</t>
    <phoneticPr fontId="3" type="noConversion"/>
  </si>
  <si>
    <t>1. 고객응대관리 &gt; 고객의소리 관리
2. 게시물 선택 &gt; 고객의소리 상세 팝업 &gt; 문의 등록정보
3. 회원명 선택</t>
    <phoneticPr fontId="3" type="noConversion"/>
  </si>
  <si>
    <t>1. 고객응대관리 &gt; 고객의소리 관리
2. 게시물 선택 &gt; 고객의소리 상세 팝업 &gt; 문의 등록정보
3. 등록정보 확인</t>
    <phoneticPr fontId="3" type="noConversion"/>
  </si>
  <si>
    <t>1. 고객응대관리 &gt; 고객의소리 관리
2. 게시물 선택 &gt; 고객의소리 상세 팝업 &gt; 문의 등록정보
3. 문의유형 선택</t>
    <phoneticPr fontId="3" type="noConversion"/>
  </si>
  <si>
    <t>문의유형 수정이 가능한지 확인</t>
    <phoneticPr fontId="3" type="noConversion"/>
  </si>
  <si>
    <t>회원명 선택시 회원상세 팝업이 노출되는지 확인</t>
    <phoneticPr fontId="3" type="noConversion"/>
  </si>
  <si>
    <t>스크립트 선택시 하단 
답변 제목 / 내용 변경 확인</t>
    <phoneticPr fontId="3" type="noConversion"/>
  </si>
  <si>
    <t>스크립트 제목 선택시 답변내용 변경 확인</t>
    <phoneticPr fontId="3" type="noConversion"/>
  </si>
  <si>
    <t>1. 고객응대관리 &gt; 1:1문의관리
2. 게시물 선택 &gt; 1:1문의 상세 팝업 
3. 답변관리 &gt; 답변스크립트 선택</t>
    <phoneticPr fontId="3" type="noConversion"/>
  </si>
  <si>
    <t>1. 고객응대관리 &gt; 1:1문의관리
2. 게시물 선택 &gt; 1:1문의 상세 팝업 
3. 답변관리 &gt; 스크립트 제목 선택</t>
    <phoneticPr fontId="3" type="noConversion"/>
  </si>
  <si>
    <t>1. 고객응대관리 &gt; 1:1문의관리
2. 게시물 선택 &gt; 1:1문의 상세 팝업 
3. 답변관리 &gt; 첨부파일 등록</t>
    <phoneticPr fontId="3" type="noConversion"/>
  </si>
  <si>
    <t>1. 고객응대관리 &gt; 1:1문의관리
2. 게시물 선택 &gt; 1:1문의 상세 팝업 
3. 답변관리 &gt; 담당업체이관 선택</t>
    <phoneticPr fontId="3" type="noConversion"/>
  </si>
  <si>
    <t>1. 고객응대관리 &gt; 1:1문의관리
2. 게시물 선택 &gt; 1:1문의 상세 팝업 
3. 답변관리 &gt; 답변보류 선택</t>
    <phoneticPr fontId="3" type="noConversion"/>
  </si>
  <si>
    <t>1:1상담 등록</t>
    <phoneticPr fontId="3" type="noConversion"/>
  </si>
  <si>
    <t>FAQ 확인</t>
    <phoneticPr fontId="3" type="noConversion"/>
  </si>
  <si>
    <t>FAQ 관리</t>
  </si>
  <si>
    <t>FAQ 관리</t>
    <phoneticPr fontId="3" type="noConversion"/>
  </si>
  <si>
    <t>IT-CS-002-009</t>
  </si>
  <si>
    <t>IT-CS-002-010</t>
  </si>
  <si>
    <t>IT-CS-002-011</t>
  </si>
  <si>
    <t>IT-CS-002-012</t>
  </si>
  <si>
    <t>IT-CS-002-013</t>
  </si>
  <si>
    <t>IT-CS-002-014</t>
  </si>
  <si>
    <t>IT-CS-002-015</t>
  </si>
  <si>
    <t>IT-CS-002-016</t>
  </si>
  <si>
    <t>IT-CS-002-017</t>
  </si>
  <si>
    <t>IT-CS-002-018</t>
  </si>
  <si>
    <t>IT-CS-002-019</t>
  </si>
  <si>
    <t>IT-CS-002-020</t>
  </si>
  <si>
    <t>IT-CS-002-021</t>
  </si>
  <si>
    <t>IT-CS-002-022</t>
  </si>
  <si>
    <t>IT-CS-002-023</t>
  </si>
  <si>
    <t>IT-CS-002-024</t>
  </si>
  <si>
    <t>IT-CS-002-025</t>
  </si>
  <si>
    <t>IT-CS-002-026</t>
  </si>
  <si>
    <t>IT-CS-002-027</t>
  </si>
  <si>
    <t>IT-CS-002-028</t>
  </si>
  <si>
    <t>IT-CS-002-029</t>
  </si>
  <si>
    <t>IT-CS-002-030</t>
  </si>
  <si>
    <t>IT-CS-002-031</t>
  </si>
  <si>
    <t>IT-CS-002-032</t>
  </si>
  <si>
    <t>공지사항 확인</t>
    <phoneticPr fontId="3" type="noConversion"/>
  </si>
  <si>
    <t>공지사항 관리</t>
  </si>
  <si>
    <t>공지사항 관리</t>
    <phoneticPr fontId="3" type="noConversion"/>
  </si>
  <si>
    <t>매장 관리</t>
    <phoneticPr fontId="3" type="noConversion"/>
  </si>
  <si>
    <t>매장찾기 확인</t>
    <phoneticPr fontId="3" type="noConversion"/>
  </si>
  <si>
    <t>1:1문의관리</t>
    <phoneticPr fontId="3" type="noConversion"/>
  </si>
  <si>
    <t>회원정보 확인</t>
    <phoneticPr fontId="3" type="noConversion"/>
  </si>
  <si>
    <t>상담스크립트관리</t>
    <phoneticPr fontId="3" type="noConversion"/>
  </si>
  <si>
    <t>회원정보</t>
    <phoneticPr fontId="3" type="noConversion"/>
  </si>
  <si>
    <t>고객의소리 관리</t>
    <phoneticPr fontId="3" type="noConversion"/>
  </si>
  <si>
    <t>고객의소리 등록</t>
    <phoneticPr fontId="3" type="noConversion"/>
  </si>
  <si>
    <t>IT-CS-003-001</t>
    <phoneticPr fontId="3" type="noConversion"/>
  </si>
  <si>
    <t>IT-CS-004-009</t>
  </si>
  <si>
    <t>IT-CS-004-010</t>
  </si>
  <si>
    <t>IT-CS-004-011</t>
  </si>
  <si>
    <t>IT-CS-004-012</t>
  </si>
  <si>
    <t>IT-CS-004-013</t>
  </si>
  <si>
    <t>IT-CS-004-014</t>
  </si>
  <si>
    <t>IT-CS-004-015</t>
  </si>
  <si>
    <t>IT-CS-004-016</t>
  </si>
  <si>
    <t>IT-CS-004-017</t>
  </si>
  <si>
    <t>IT-CS-004-018</t>
  </si>
  <si>
    <t>IT-CS-004-019</t>
  </si>
  <si>
    <t>IT-CS-004-020</t>
  </si>
  <si>
    <t>IT-CS-004-021</t>
  </si>
  <si>
    <t>IT-CS-004-022</t>
  </si>
  <si>
    <t>IT-CS-004-023</t>
  </si>
  <si>
    <t>IT-CS-004-024</t>
  </si>
  <si>
    <t>IT-CS-004-025</t>
  </si>
  <si>
    <t>IT-CS-004-026</t>
  </si>
  <si>
    <t>IT-CS-004-027</t>
  </si>
  <si>
    <t>IT-CS-004-028</t>
  </si>
  <si>
    <t xml:space="preserve"> 1. 공지사항 관리(IT-CS-003) : [BO] 공지사항 목록 확인 &gt;  공지사항 등록/수정
 2. 공지사항 확인 (IT-CS-004)  : [FO/MO] 공지사항 검색 확인 &gt; 공지사항 게시물 확인</t>
    <phoneticPr fontId="3" type="noConversion"/>
  </si>
  <si>
    <t xml:space="preserve"> 1. FAQ 관리(IT-CS-001) :  [BO] FAQ 목록 확인 &gt;  FAQ 등록/수정
 2. FAQ 확인 (IT-CS-002)  : [FO/MO] FAQ 검색 확인 &gt; FAQ 게시물 확인</t>
    <phoneticPr fontId="3" type="noConversion"/>
  </si>
  <si>
    <t xml:space="preserve"> 1. 매장 관리 (IT-CS-005) : [BO] 매장 목록 확인 &gt; 매장  등록/수정 &gt; 매장 배너 확인 &gt; 매장 지도검색 &gt; 매장 지도 키워드검색
 2. 매장찾기 확인 (IT-CS-006) 
    - [FO] 매장찾기 검색 확인 &gt; 단골매장 노출 확인 &gt; 매장 목록 정보 확인 &gt; 신규 매장 목록 확인 &gt; 매장전용 상품존 배너 확인
    - [MO] 매장찾기 검색 확인 &gt; 매장 목록 정보 확인 &gt; 매장의 상세정보 확인 &gt; 단골매장 노출 확인</t>
    <phoneticPr fontId="3" type="noConversion"/>
  </si>
  <si>
    <t>IT-CS-005-009</t>
  </si>
  <si>
    <t>IT-CS-006-002</t>
  </si>
  <si>
    <t>IT-CS-006-003</t>
  </si>
  <si>
    <t>IT-CS-006-004</t>
  </si>
  <si>
    <t>IT-CS-006-005</t>
  </si>
  <si>
    <t>IT-CS-006-006</t>
  </si>
  <si>
    <t>IT-CS-006-007</t>
  </si>
  <si>
    <t>IT-CS-006-008</t>
  </si>
  <si>
    <t>IT-CS-006-009</t>
  </si>
  <si>
    <t>IT-CS-006-010</t>
  </si>
  <si>
    <t>IT-CS-006-011</t>
  </si>
  <si>
    <t>IT-CS-006-012</t>
  </si>
  <si>
    <t>IT-CS-006-013</t>
  </si>
  <si>
    <t>IT-CS-006-014</t>
  </si>
  <si>
    <t>IT-CS-006-015</t>
  </si>
  <si>
    <t>IT-CS-006-016</t>
  </si>
  <si>
    <t>IT-CS-006-017</t>
  </si>
  <si>
    <t>IT-CS-006-018</t>
  </si>
  <si>
    <t>IT-CS-006-019</t>
  </si>
  <si>
    <t>IT-CS-006-020</t>
  </si>
  <si>
    <t>IT-CS-006-021</t>
  </si>
  <si>
    <t>IT-CS-006-022</t>
  </si>
  <si>
    <t>IT-CS-006-023</t>
  </si>
  <si>
    <t>IT-CS-006-024</t>
  </si>
  <si>
    <t>IT-CS-006-025</t>
  </si>
  <si>
    <t>IT-CS-006-026</t>
  </si>
  <si>
    <t>IT-CS-006-027</t>
  </si>
  <si>
    <t>IT-CS-006-028</t>
  </si>
  <si>
    <t>IT-CS-006-029</t>
  </si>
  <si>
    <t>IT-CS-006-030</t>
  </si>
  <si>
    <t>IT-CS-006-031</t>
  </si>
  <si>
    <t>IT-CS-006-032</t>
  </si>
  <si>
    <t>IT-CS-006-033</t>
  </si>
  <si>
    <t>IT-CS-006-034</t>
  </si>
  <si>
    <t>IT-CS-006-035</t>
  </si>
  <si>
    <t>IT-CS-006-036</t>
  </si>
  <si>
    <t>IT-CS-006-037</t>
  </si>
  <si>
    <t>IT-CS-006-038</t>
  </si>
  <si>
    <t>IT-CS-006-039</t>
  </si>
  <si>
    <t>IT-CS-006-040</t>
  </si>
  <si>
    <t>IT-CS-006-041</t>
  </si>
  <si>
    <t>IT-CS-006-042</t>
  </si>
  <si>
    <t>IT-CS-006-043</t>
  </si>
  <si>
    <t>IT-CS-006-044</t>
  </si>
  <si>
    <t>IT-CS-006-045</t>
  </si>
  <si>
    <t>IT-CS-006-046</t>
  </si>
  <si>
    <t>IT-CS-007-001</t>
    <phoneticPr fontId="3" type="noConversion"/>
  </si>
  <si>
    <t>IT-CS-007-002</t>
  </si>
  <si>
    <t>IT-CS-007-003</t>
  </si>
  <si>
    <t>IT-CS-007-004</t>
  </si>
  <si>
    <t>IT-CS-007-005</t>
  </si>
  <si>
    <t>IT-CS-007-006</t>
  </si>
  <si>
    <t>IT-CS-007-007</t>
  </si>
  <si>
    <t>IT-CS-007-008</t>
  </si>
  <si>
    <t>IT-CS-007-009</t>
  </si>
  <si>
    <t>IT-CS-007-010</t>
  </si>
  <si>
    <t>IT-CS-007-011</t>
  </si>
  <si>
    <t>IT-CS-007-012</t>
  </si>
  <si>
    <t>IT-CS-007-013</t>
  </si>
  <si>
    <t>IT-CS-007-014</t>
  </si>
  <si>
    <t>IT-CS-007-015</t>
  </si>
  <si>
    <t>IT-CS-007-016</t>
  </si>
  <si>
    <t>IT-CS-007-017</t>
  </si>
  <si>
    <t>IT-CS-007-018</t>
  </si>
  <si>
    <t>IT-CS-007-019</t>
  </si>
  <si>
    <t>IT-CS-007-020</t>
  </si>
  <si>
    <t>IT-CS-007-021</t>
  </si>
  <si>
    <t>IT-CS-007-022</t>
  </si>
  <si>
    <t>IT-CS-007-023</t>
  </si>
  <si>
    <t>IT-CS-007-024</t>
  </si>
  <si>
    <t>IT-CS-007-025</t>
  </si>
  <si>
    <t>IT-CS-007-026</t>
  </si>
  <si>
    <t>IT-CS-007-027</t>
  </si>
  <si>
    <t>IT-CS-007-028</t>
  </si>
  <si>
    <t>IT-CS-007-029</t>
  </si>
  <si>
    <t>IT-CS-007-030</t>
  </si>
  <si>
    <t>IT-CS-007-031</t>
  </si>
  <si>
    <t>IT-CS-007-032</t>
  </si>
  <si>
    <t>IT-CS-007-033</t>
  </si>
  <si>
    <t>IT-CS-007-034</t>
  </si>
  <si>
    <t>IT-CS-007-035</t>
  </si>
  <si>
    <t>IT-CS-007-036</t>
  </si>
  <si>
    <t>IT-CS-007-037</t>
  </si>
  <si>
    <t>IT-CS-007-038</t>
  </si>
  <si>
    <t>IT-CS-007-039</t>
  </si>
  <si>
    <t>IT-CS-007-040</t>
  </si>
  <si>
    <t>IT-CS-008-001</t>
    <phoneticPr fontId="3" type="noConversion"/>
  </si>
  <si>
    <t>IT-CS-008-002</t>
  </si>
  <si>
    <t>IT-CS-008-003</t>
  </si>
  <si>
    <t>IT-CS-008-004</t>
  </si>
  <si>
    <t>IT-CS-008-005</t>
  </si>
  <si>
    <t>IT-CS-008-006</t>
  </si>
  <si>
    <t>IT-CS-008-007</t>
  </si>
  <si>
    <t>IT-CS-008-008</t>
  </si>
  <si>
    <t>IT-CS-008-009</t>
  </si>
  <si>
    <t>IT-CS-008-010</t>
  </si>
  <si>
    <t>IT-CS-008-011</t>
  </si>
  <si>
    <t>IT-CS-008-012</t>
  </si>
  <si>
    <t>IT-CS-008-013</t>
  </si>
  <si>
    <t>IT-CS-008-014</t>
  </si>
  <si>
    <t>IT-CS-008-015</t>
  </si>
  <si>
    <t>IT-CS-008-016</t>
  </si>
  <si>
    <t>IT-CS-008-017</t>
  </si>
  <si>
    <t>IT-CS-008-018</t>
  </si>
  <si>
    <t>IT-CS-008-019</t>
  </si>
  <si>
    <t>IT-CS-008-020</t>
  </si>
  <si>
    <t>IT-CS-008-021</t>
  </si>
  <si>
    <t>IT-CS-008-022</t>
  </si>
  <si>
    <t>IT-CS-008-023</t>
  </si>
  <si>
    <t>IT-CS-008-024</t>
  </si>
  <si>
    <t>IT-CS-009-001</t>
    <phoneticPr fontId="3" type="noConversion"/>
  </si>
  <si>
    <t>IT-CS-009-002</t>
  </si>
  <si>
    <t>IT-CS-009-003</t>
  </si>
  <si>
    <t>IT-CS-009-004</t>
  </si>
  <si>
    <t xml:space="preserve"> 1. 1:1상담 등록 (IT-CS-007) : [FO/MO] 1:1상담 이동 &gt; 1:1상담 등록 &gt; 상담할 주문상품 선택 &gt; 상담할  AS상품 선택 &gt; 1:1상담 완료 &gt; 게시물 확인
 2  1:1문의관리 (IT-CS-008) : [BO] 1:1문의 검색 &gt; 목록 기능 확인 &gt; 1:1문의 게시물 조회 &gt; 답변하기 &gt; 관리자메모 &gt; [FO/MO] 마이페이지 1:1문의 확인
 3. 회원정보 확인 (IT-CS-009) : [BO] 상담스크립트관리 &gt; 상담스크립트 등록/수정
 4. 상담스크립트관리 (IT-CS-010) : [BO] 상담스크립트관리 &gt; 상담스크립트 등록/수정
 ※ 사용자와 관리자의 메뉴명이 다르므로 주의</t>
    <phoneticPr fontId="3" type="noConversion"/>
  </si>
  <si>
    <t>IT-CS-011-007</t>
  </si>
  <si>
    <t>IT-CS-011-008</t>
  </si>
  <si>
    <t>IT-CS-011-009</t>
  </si>
  <si>
    <t>IT-CS-011-010</t>
  </si>
  <si>
    <t>IT-CS-011-011</t>
  </si>
  <si>
    <t>IT-CS-011-012</t>
  </si>
  <si>
    <t>IT-CS-011-013</t>
  </si>
  <si>
    <t>IT-CS-011-014</t>
  </si>
  <si>
    <t>IT-CS-011-015</t>
  </si>
  <si>
    <t>IT-CS-011-016</t>
  </si>
  <si>
    <t>IT-CS-011-017</t>
  </si>
  <si>
    <t>IT-CS-011-018</t>
  </si>
  <si>
    <t>IT-CS-011-019</t>
  </si>
  <si>
    <t>IT-CS-011-020</t>
  </si>
  <si>
    <t xml:space="preserve"> 1. 고객의소리 등록 (IT-CS-011) : [FO/MO] 고객의소리 이동 &gt; 고객의소리 등록 &gt; 고객의소리 완료 &gt; 게시물 확인
 2  1:1문의관리 (IT-CS-012) : [BO] 고객의소리 검색 &gt; 목록 기능 확인 &gt; 고객의소리 게시물 조회 &gt; 답변하기 &gt; 관리자메모 &gt; [FO/MO] 마이페이지 고객의소리 확인
 3. 회원정보 확인 (IT-CS-013) : [BO] 상담스크립트관리 &gt; 상담스크립트 등록/수정
 4. 상담스크립트관리 (IT-CS-014) : [BO] 상담스크립트관리 &gt; 상담스크립트 등록/수정</t>
    <phoneticPr fontId="3" type="noConversion"/>
  </si>
  <si>
    <t>IT-CS-001</t>
  </si>
  <si>
    <t xml:space="preserve">FAQ 확인 </t>
  </si>
  <si>
    <t>IT-CS-002</t>
  </si>
  <si>
    <t>IT-CS-003</t>
  </si>
  <si>
    <t xml:space="preserve">공지사항 확인 </t>
  </si>
  <si>
    <t>IT-CS-004</t>
  </si>
  <si>
    <t xml:space="preserve">매장 관리 </t>
  </si>
  <si>
    <t>IT-CS-005</t>
  </si>
  <si>
    <t xml:space="preserve">매장찾기 확인 </t>
  </si>
  <si>
    <t>IT-CS-006</t>
  </si>
  <si>
    <t xml:space="preserve">1:1상담 등록 </t>
  </si>
  <si>
    <t>IT-CS-007</t>
  </si>
  <si>
    <t xml:space="preserve">1:1문의관리 </t>
  </si>
  <si>
    <t>IT-CS-008</t>
  </si>
  <si>
    <t xml:space="preserve">회원정보 확인 </t>
  </si>
  <si>
    <t>IT-CS-009</t>
  </si>
  <si>
    <t xml:space="preserve">상담스크립트관리 </t>
  </si>
  <si>
    <t>IT-CS-010</t>
  </si>
  <si>
    <t xml:space="preserve">고객의소리 등록 </t>
  </si>
  <si>
    <t>IT-CS-011</t>
  </si>
  <si>
    <t>IT-CS-012</t>
  </si>
  <si>
    <t>IT-CS-013</t>
  </si>
  <si>
    <t>IT-CS-014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</si>
</sst>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.00_ "/>
    <numFmt numFmtId="178" formatCode="0_ "/>
  </numFmts>
  <fonts count="39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0"/>
      <color rgb="FFFA7D00"/>
      <name val="맑은 고딕"/>
      <family val="2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 tint="0.499984740745262"/>
        <bgColor theme="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70">
    <xf numFmtId="0" fontId="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" fillId="9" borderId="15" applyNumberFormat="0" applyFont="0" applyAlignment="0" applyProtection="0">
      <alignment vertical="center"/>
    </xf>
  </cellStyleXfs>
  <cellXfs count="175">
    <xf numFmtId="0" fontId="0" fillId="0" borderId="0" xfId="0">
      <alignment vertical="center"/>
    </xf>
    <xf numFmtId="0" fontId="13" fillId="0" borderId="0" xfId="41" applyFont="1" applyAlignment="1">
      <alignment vertical="center"/>
    </xf>
    <xf numFmtId="0" fontId="17" fillId="4" borderId="1" xfId="4" applyFont="1" applyFill="1" applyBorder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vertical="center"/>
    </xf>
    <xf numFmtId="0" fontId="18" fillId="0" borderId="0" xfId="4" applyFont="1" applyAlignment="1">
      <alignment vertical="center"/>
    </xf>
    <xf numFmtId="0" fontId="18" fillId="0" borderId="0" xfId="4" applyFont="1" applyAlignment="1">
      <alignment horizontal="center" vertical="center"/>
    </xf>
    <xf numFmtId="0" fontId="15" fillId="3" borderId="1" xfId="41" applyFont="1" applyFill="1" applyBorder="1" applyAlignment="1">
      <alignment horizontal="center" vertical="center"/>
    </xf>
    <xf numFmtId="176" fontId="15" fillId="3" borderId="1" xfId="4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14" fillId="3" borderId="1" xfId="41" applyNumberFormat="1" applyFont="1" applyFill="1" applyBorder="1" applyAlignment="1">
      <alignment horizontal="center" vertical="center" wrapText="1"/>
    </xf>
    <xf numFmtId="0" fontId="15" fillId="3" borderId="1" xfId="41" applyFont="1" applyFill="1" applyBorder="1" applyAlignment="1">
      <alignment vertical="center"/>
    </xf>
    <xf numFmtId="55" fontId="15" fillId="3" borderId="1" xfId="62" quotePrefix="1" applyNumberFormat="1" applyFont="1" applyFill="1" applyBorder="1" applyAlignment="1">
      <alignment vertical="center"/>
    </xf>
    <xf numFmtId="14" fontId="15" fillId="3" borderId="1" xfId="41" quotePrefix="1" applyNumberFormat="1" applyFont="1" applyFill="1" applyBorder="1" applyAlignment="1">
      <alignment vertical="center"/>
    </xf>
    <xf numFmtId="0" fontId="2" fillId="2" borderId="0" xfId="41" applyFill="1" applyAlignment="1">
      <alignment vertical="center"/>
    </xf>
    <xf numFmtId="0" fontId="20" fillId="0" borderId="0" xfId="66" applyFont="1" applyBorder="1">
      <alignment vertical="center"/>
    </xf>
    <xf numFmtId="0" fontId="20" fillId="0" borderId="0" xfId="66" applyFont="1">
      <alignment vertical="center"/>
    </xf>
    <xf numFmtId="0" fontId="0" fillId="2" borderId="0" xfId="41" applyFont="1" applyFill="1" applyAlignment="1">
      <alignment vertical="center"/>
    </xf>
    <xf numFmtId="0" fontId="2" fillId="2" borderId="0" xfId="41" applyFill="1">
      <alignment vertical="center"/>
    </xf>
    <xf numFmtId="0" fontId="16" fillId="3" borderId="1" xfId="41" applyFont="1" applyFill="1" applyBorder="1" applyAlignment="1">
      <alignment horizontal="center" vertical="center" wrapText="1"/>
    </xf>
    <xf numFmtId="0" fontId="16" fillId="3" borderId="1" xfId="41" applyFont="1" applyFill="1" applyBorder="1" applyAlignment="1">
      <alignment horizontal="center" vertical="center"/>
    </xf>
    <xf numFmtId="177" fontId="15" fillId="3" borderId="1" xfId="41" applyNumberFormat="1" applyFont="1" applyFill="1" applyBorder="1" applyAlignment="1">
      <alignment horizontal="center" vertical="center" wrapText="1"/>
    </xf>
    <xf numFmtId="177" fontId="14" fillId="3" borderId="1" xfId="41" applyNumberFormat="1" applyFont="1" applyFill="1" applyBorder="1" applyAlignment="1">
      <alignment horizontal="center" vertical="center" wrapText="1"/>
    </xf>
    <xf numFmtId="14" fontId="15" fillId="3" borderId="1" xfId="41" applyNumberFormat="1" applyFont="1" applyFill="1" applyBorder="1" applyAlignment="1">
      <alignment horizontal="center" vertical="center"/>
    </xf>
    <xf numFmtId="55" fontId="15" fillId="3" borderId="1" xfId="62" quotePrefix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8" fillId="0" borderId="1" xfId="4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18" fillId="3" borderId="16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vertical="center"/>
    </xf>
    <xf numFmtId="0" fontId="18" fillId="0" borderId="16" xfId="4" applyFont="1" applyBorder="1" applyAlignment="1">
      <alignment vertical="center"/>
    </xf>
    <xf numFmtId="0" fontId="18" fillId="0" borderId="16" xfId="4" applyFont="1" applyBorder="1" applyAlignment="1">
      <alignment horizontal="center" vertical="center"/>
    </xf>
    <xf numFmtId="0" fontId="18" fillId="0" borderId="16" xfId="4" applyFont="1" applyFill="1" applyBorder="1" applyAlignment="1">
      <alignment vertical="center"/>
    </xf>
    <xf numFmtId="0" fontId="18" fillId="0" borderId="19" xfId="4" applyFont="1" applyBorder="1" applyAlignment="1">
      <alignment vertical="center"/>
    </xf>
    <xf numFmtId="0" fontId="18" fillId="0" borderId="19" xfId="4" applyFont="1" applyFill="1" applyBorder="1" applyAlignment="1">
      <alignment vertical="center"/>
    </xf>
    <xf numFmtId="0" fontId="18" fillId="0" borderId="20" xfId="4" applyFont="1" applyBorder="1" applyAlignment="1">
      <alignment vertical="center"/>
    </xf>
    <xf numFmtId="0" fontId="18" fillId="0" borderId="20" xfId="4" applyFont="1" applyFill="1" applyBorder="1" applyAlignment="1">
      <alignment vertical="center"/>
    </xf>
    <xf numFmtId="0" fontId="18" fillId="3" borderId="17" xfId="4" applyFont="1" applyFill="1" applyBorder="1" applyAlignment="1">
      <alignment horizontal="center" vertical="center"/>
    </xf>
    <xf numFmtId="0" fontId="18" fillId="0" borderId="17" xfId="4" applyFont="1" applyBorder="1" applyAlignment="1">
      <alignment vertical="center"/>
    </xf>
    <xf numFmtId="0" fontId="18" fillId="0" borderId="18" xfId="4" applyFont="1" applyBorder="1" applyAlignment="1">
      <alignment horizontal="center" vertical="center"/>
    </xf>
    <xf numFmtId="0" fontId="18" fillId="0" borderId="18" xfId="4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0" fontId="18" fillId="0" borderId="16" xfId="4" applyFont="1" applyFill="1" applyBorder="1" applyAlignment="1">
      <alignment horizontal="center" vertical="center"/>
    </xf>
    <xf numFmtId="0" fontId="15" fillId="0" borderId="16" xfId="4" applyFont="1" applyBorder="1" applyAlignment="1">
      <alignment vertical="center"/>
    </xf>
    <xf numFmtId="0" fontId="15" fillId="0" borderId="16" xfId="4" applyFont="1" applyBorder="1" applyAlignment="1">
      <alignment horizontal="center" vertical="center"/>
    </xf>
    <xf numFmtId="0" fontId="15" fillId="3" borderId="17" xfId="4" applyFont="1" applyFill="1" applyBorder="1" applyAlignment="1">
      <alignment horizontal="center" vertical="center"/>
    </xf>
    <xf numFmtId="0" fontId="15" fillId="0" borderId="17" xfId="4" applyFont="1" applyBorder="1" applyAlignment="1">
      <alignment horizontal="center" vertical="center"/>
    </xf>
    <xf numFmtId="0" fontId="15" fillId="0" borderId="17" xfId="4" applyFont="1" applyBorder="1" applyAlignment="1">
      <alignment vertical="center"/>
    </xf>
    <xf numFmtId="0" fontId="15" fillId="0" borderId="19" xfId="4" applyFont="1" applyBorder="1" applyAlignment="1">
      <alignment vertical="center"/>
    </xf>
    <xf numFmtId="0" fontId="15" fillId="0" borderId="20" xfId="4" applyFont="1" applyBorder="1" applyAlignment="1">
      <alignment vertical="center"/>
    </xf>
    <xf numFmtId="0" fontId="15" fillId="0" borderId="19" xfId="4" applyFont="1" applyFill="1" applyBorder="1" applyAlignment="1">
      <alignment vertical="center"/>
    </xf>
    <xf numFmtId="0" fontId="15" fillId="0" borderId="20" xfId="4" applyFont="1" applyFill="1" applyBorder="1" applyAlignment="1">
      <alignment vertical="center"/>
    </xf>
    <xf numFmtId="0" fontId="15" fillId="0" borderId="16" xfId="4" applyFont="1" applyFill="1" applyBorder="1" applyAlignment="1">
      <alignment vertical="center"/>
    </xf>
    <xf numFmtId="0" fontId="29" fillId="0" borderId="0" xfId="0" applyFont="1" applyFill="1" applyBorder="1" applyAlignment="1">
      <alignment horizontal="center" vertical="center"/>
    </xf>
    <xf numFmtId="0" fontId="15" fillId="0" borderId="18" xfId="4" applyFont="1" applyBorder="1" applyAlignment="1">
      <alignment horizontal="center" vertical="center"/>
    </xf>
    <xf numFmtId="0" fontId="15" fillId="0" borderId="18" xfId="4" applyFont="1" applyBorder="1" applyAlignment="1">
      <alignment vertical="center"/>
    </xf>
    <xf numFmtId="0" fontId="15" fillId="3" borderId="23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5" fillId="0" borderId="23" xfId="4" applyFont="1" applyBorder="1" applyAlignment="1">
      <alignment vertical="center"/>
    </xf>
    <xf numFmtId="0" fontId="17" fillId="0" borderId="0" xfId="4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178" fontId="18" fillId="0" borderId="0" xfId="0" applyNumberFormat="1" applyFont="1" applyFill="1" applyBorder="1" applyAlignment="1">
      <alignment horizontal="right" vertical="center" wrapText="1"/>
    </xf>
    <xf numFmtId="178" fontId="23" fillId="0" borderId="0" xfId="0" applyNumberFormat="1" applyFont="1" applyFill="1" applyBorder="1" applyAlignment="1">
      <alignment horizontal="right" vertical="top" wrapText="1"/>
    </xf>
    <xf numFmtId="0" fontId="18" fillId="0" borderId="0" xfId="4" applyFont="1" applyFill="1" applyBorder="1" applyAlignment="1">
      <alignment vertical="center"/>
    </xf>
    <xf numFmtId="178" fontId="15" fillId="0" borderId="0" xfId="0" applyNumberFormat="1" applyFont="1" applyFill="1" applyBorder="1" applyAlignment="1">
      <alignment horizontal="right" vertical="center" wrapText="1"/>
    </xf>
    <xf numFmtId="0" fontId="31" fillId="4" borderId="0" xfId="0" applyFont="1" applyFill="1" applyBorder="1" applyAlignment="1">
      <alignment horizontal="center" vertical="center" wrapText="1"/>
    </xf>
    <xf numFmtId="178" fontId="17" fillId="4" borderId="0" xfId="0" applyNumberFormat="1" applyFont="1" applyFill="1" applyBorder="1" applyAlignment="1">
      <alignment horizontal="right" vertical="center" wrapText="1"/>
    </xf>
    <xf numFmtId="10" fontId="18" fillId="0" borderId="0" xfId="67" applyNumberFormat="1" applyFont="1" applyFill="1" applyBorder="1" applyAlignment="1">
      <alignment vertical="center"/>
    </xf>
    <xf numFmtId="10" fontId="17" fillId="4" borderId="0" xfId="67" applyNumberFormat="1" applyFont="1" applyFill="1" applyBorder="1" applyAlignment="1">
      <alignment horizontal="right" vertical="center" wrapText="1"/>
    </xf>
    <xf numFmtId="0" fontId="18" fillId="3" borderId="17" xfId="4" applyFont="1" applyFill="1" applyBorder="1" applyAlignment="1">
      <alignment vertical="center"/>
    </xf>
    <xf numFmtId="0" fontId="18" fillId="3" borderId="0" xfId="4" applyFont="1" applyFill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3" xfId="4" applyFont="1" applyBorder="1" applyAlignment="1">
      <alignment vertical="center"/>
    </xf>
    <xf numFmtId="0" fontId="31" fillId="0" borderId="16" xfId="0" applyFont="1" applyFill="1" applyBorder="1" applyAlignment="1">
      <alignment horizontal="center" vertical="center" wrapText="1"/>
    </xf>
    <xf numFmtId="178" fontId="17" fillId="0" borderId="16" xfId="0" applyNumberFormat="1" applyFont="1" applyFill="1" applyBorder="1" applyAlignment="1">
      <alignment horizontal="right" vertical="center" wrapText="1"/>
    </xf>
    <xf numFmtId="10" fontId="17" fillId="0" borderId="16" xfId="67" applyNumberFormat="1" applyFont="1" applyFill="1" applyBorder="1" applyAlignment="1">
      <alignment horizontal="right" vertical="center" wrapText="1"/>
    </xf>
    <xf numFmtId="0" fontId="31" fillId="0" borderId="18" xfId="0" applyFont="1" applyFill="1" applyBorder="1" applyAlignment="1">
      <alignment horizontal="center" vertical="center" wrapText="1"/>
    </xf>
    <xf numFmtId="178" fontId="17" fillId="0" borderId="18" xfId="0" applyNumberFormat="1" applyFont="1" applyFill="1" applyBorder="1" applyAlignment="1">
      <alignment horizontal="right" vertical="center" wrapText="1"/>
    </xf>
    <xf numFmtId="10" fontId="17" fillId="0" borderId="18" xfId="67" applyNumberFormat="1" applyFont="1" applyFill="1" applyBorder="1" applyAlignment="1">
      <alignment horizontal="right" vertical="center" wrapText="1"/>
    </xf>
    <xf numFmtId="10" fontId="31" fillId="4" borderId="0" xfId="67" applyNumberFormat="1" applyFont="1" applyFill="1" applyBorder="1" applyAlignment="1">
      <alignment horizontal="center" vertical="center" wrapText="1"/>
    </xf>
    <xf numFmtId="0" fontId="18" fillId="3" borderId="21" xfId="4" applyFont="1" applyFill="1" applyBorder="1" applyAlignment="1">
      <alignment vertical="center"/>
    </xf>
    <xf numFmtId="0" fontId="18" fillId="3" borderId="23" xfId="4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>
      <alignment horizontal="center" vertical="center" wrapText="1"/>
    </xf>
    <xf numFmtId="0" fontId="18" fillId="0" borderId="0" xfId="4" applyFont="1" applyFill="1" applyBorder="1" applyAlignment="1">
      <alignment horizontal="center" vertical="center"/>
    </xf>
    <xf numFmtId="0" fontId="18" fillId="0" borderId="0" xfId="4" applyFont="1" applyBorder="1" applyAlignment="1">
      <alignment horizontal="center" vertical="center"/>
    </xf>
    <xf numFmtId="0" fontId="18" fillId="0" borderId="0" xfId="4" applyFont="1" applyFill="1" applyBorder="1" applyAlignment="1">
      <alignment horizontal="center" vertical="center" wrapText="1"/>
    </xf>
    <xf numFmtId="49" fontId="18" fillId="0" borderId="0" xfId="4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vertical="center"/>
    </xf>
    <xf numFmtId="49" fontId="7" fillId="0" borderId="0" xfId="4" applyNumberFormat="1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/>
    </xf>
    <xf numFmtId="0" fontId="7" fillId="0" borderId="0" xfId="4" applyFont="1" applyBorder="1" applyAlignment="1">
      <alignment horizontal="center" vertical="center"/>
    </xf>
    <xf numFmtId="0" fontId="7" fillId="0" borderId="0" xfId="4" applyFont="1" applyFill="1" applyAlignment="1">
      <alignment vertical="center"/>
    </xf>
    <xf numFmtId="0" fontId="32" fillId="0" borderId="0" xfId="0" applyFont="1" applyFill="1" applyBorder="1" applyAlignment="1">
      <alignment vertical="top" wrapText="1"/>
    </xf>
    <xf numFmtId="0" fontId="32" fillId="0" borderId="0" xfId="0" applyFont="1" applyFill="1" applyBorder="1" applyAlignment="1">
      <alignment horizontal="left" vertical="center" wrapText="1"/>
    </xf>
    <xf numFmtId="0" fontId="18" fillId="0" borderId="0" xfId="4" applyFont="1" applyFill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0" fontId="28" fillId="10" borderId="1" xfId="4" applyNumberFormat="1" applyFont="1" applyFill="1" applyBorder="1" applyAlignment="1">
      <alignment horizontal="center" vertical="center" wrapText="1"/>
    </xf>
    <xf numFmtId="49" fontId="18" fillId="0" borderId="0" xfId="4" applyNumberFormat="1" applyFont="1" applyFill="1" applyAlignment="1">
      <alignment horizontal="center" vertical="center" wrapText="1"/>
    </xf>
    <xf numFmtId="0" fontId="18" fillId="0" borderId="0" xfId="0" quotePrefix="1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32" fillId="0" borderId="0" xfId="0" quotePrefix="1" applyFont="1" applyFill="1" applyBorder="1" applyAlignment="1">
      <alignment vertical="center" wrapText="1"/>
    </xf>
    <xf numFmtId="0" fontId="35" fillId="11" borderId="26" xfId="0" applyFont="1" applyFill="1" applyBorder="1" applyAlignment="1">
      <alignment horizontal="center" vertical="center"/>
    </xf>
    <xf numFmtId="0" fontId="37" fillId="10" borderId="1" xfId="4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vertical="top" wrapText="1"/>
    </xf>
    <xf numFmtId="0" fontId="18" fillId="0" borderId="27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0" borderId="27" xfId="0" applyFont="1" applyBorder="1">
      <alignment vertical="center"/>
    </xf>
    <xf numFmtId="0" fontId="18" fillId="0" borderId="27" xfId="4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27" xfId="4" applyFont="1" applyFill="1" applyBorder="1" applyAlignment="1">
      <alignment horizontal="center" vertical="center" wrapText="1"/>
    </xf>
    <xf numFmtId="14" fontId="18" fillId="2" borderId="2" xfId="41" applyNumberFormat="1" applyFont="1" applyFill="1" applyBorder="1" applyAlignment="1">
      <alignment horizontal="center" vertical="center"/>
    </xf>
    <xf numFmtId="14" fontId="18" fillId="2" borderId="3" xfId="41" applyNumberFormat="1" applyFont="1" applyFill="1" applyBorder="1" applyAlignment="1">
      <alignment horizontal="center" vertical="center"/>
    </xf>
    <xf numFmtId="0" fontId="18" fillId="2" borderId="2" xfId="41" applyFont="1" applyFill="1" applyBorder="1" applyAlignment="1">
      <alignment horizontal="center" vertical="center"/>
    </xf>
    <xf numFmtId="0" fontId="18" fillId="2" borderId="3" xfId="41" applyFont="1" applyFill="1" applyBorder="1" applyAlignment="1">
      <alignment horizontal="center" vertical="center"/>
    </xf>
    <xf numFmtId="0" fontId="18" fillId="0" borderId="2" xfId="4" applyFont="1" applyBorder="1" applyAlignment="1">
      <alignment horizontal="center" vertical="center" readingOrder="2"/>
    </xf>
    <xf numFmtId="0" fontId="18" fillId="0" borderId="7" xfId="4" applyFont="1" applyBorder="1" applyAlignment="1">
      <alignment horizontal="center" vertical="center" readingOrder="2"/>
    </xf>
    <xf numFmtId="0" fontId="18" fillId="0" borderId="3" xfId="4" applyFont="1" applyBorder="1" applyAlignment="1">
      <alignment horizontal="center" vertical="center" readingOrder="2"/>
    </xf>
    <xf numFmtId="0" fontId="19" fillId="3" borderId="0" xfId="41" applyFont="1" applyFill="1" applyAlignment="1">
      <alignment horizontal="center" vertical="center"/>
    </xf>
    <xf numFmtId="0" fontId="15" fillId="3" borderId="1" xfId="41" applyFont="1" applyFill="1" applyBorder="1" applyAlignment="1">
      <alignment horizontal="left" vertical="center"/>
    </xf>
    <xf numFmtId="0" fontId="16" fillId="3" borderId="1" xfId="4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27" fillId="8" borderId="14" xfId="68" applyAlignment="1">
      <alignment horizontal="center" vertical="center"/>
    </xf>
    <xf numFmtId="0" fontId="17" fillId="9" borderId="15" xfId="69" applyFont="1" applyAlignment="1">
      <alignment horizontal="center" vertical="center"/>
    </xf>
    <xf numFmtId="0" fontId="36" fillId="3" borderId="25" xfId="4" applyFont="1" applyFill="1" applyBorder="1" applyAlignment="1">
      <alignment horizontal="center" vertical="center"/>
    </xf>
    <xf numFmtId="0" fontId="36" fillId="3" borderId="0" xfId="4" applyFont="1" applyFill="1" applyBorder="1" applyAlignment="1">
      <alignment horizontal="center" vertical="center"/>
    </xf>
    <xf numFmtId="0" fontId="18" fillId="0" borderId="2" xfId="4" applyNumberFormat="1" applyFont="1" applyFill="1" applyBorder="1" applyAlignment="1">
      <alignment horizontal="left" vertical="center" wrapText="1"/>
    </xf>
    <xf numFmtId="0" fontId="18" fillId="0" borderId="7" xfId="4" applyNumberFormat="1" applyFont="1" applyFill="1" applyBorder="1" applyAlignment="1">
      <alignment horizontal="left" vertical="center" wrapText="1"/>
    </xf>
    <xf numFmtId="0" fontId="18" fillId="0" borderId="3" xfId="4" applyNumberFormat="1" applyFont="1" applyFill="1" applyBorder="1" applyAlignment="1">
      <alignment horizontal="left" vertical="center" wrapText="1"/>
    </xf>
    <xf numFmtId="0" fontId="18" fillId="0" borderId="24" xfId="4" applyFont="1" applyFill="1" applyBorder="1" applyAlignment="1">
      <alignment horizontal="left" vertical="center" wrapText="1"/>
    </xf>
    <xf numFmtId="0" fontId="18" fillId="0" borderId="24" xfId="4" applyFont="1" applyFill="1" applyBorder="1" applyAlignment="1">
      <alignment horizontal="left" vertical="center"/>
    </xf>
    <xf numFmtId="0" fontId="37" fillId="10" borderId="24" xfId="4" applyNumberFormat="1" applyFont="1" applyFill="1" applyBorder="1" applyAlignment="1">
      <alignment horizontal="left" vertical="center"/>
    </xf>
    <xf numFmtId="0" fontId="28" fillId="10" borderId="24" xfId="4" applyNumberFormat="1" applyFont="1" applyFill="1" applyBorder="1" applyAlignment="1">
      <alignment horizontal="left" vertical="center"/>
    </xf>
    <xf numFmtId="0" fontId="17" fillId="0" borderId="24" xfId="4" applyFont="1" applyFill="1" applyBorder="1" applyAlignment="1">
      <alignment horizontal="left" vertical="center" wrapText="1"/>
    </xf>
    <xf numFmtId="0" fontId="17" fillId="0" borderId="24" xfId="4" applyFont="1" applyFill="1" applyBorder="1" applyAlignment="1">
      <alignment horizontal="left" vertical="center"/>
    </xf>
    <xf numFmtId="0" fontId="17" fillId="4" borderId="1" xfId="4" applyFont="1" applyFill="1" applyBorder="1" applyAlignment="1">
      <alignment horizontal="center" vertical="center"/>
    </xf>
    <xf numFmtId="0" fontId="17" fillId="7" borderId="1" xfId="4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0" fontId="18" fillId="0" borderId="30" xfId="0" applyFont="1" applyBorder="1" applyAlignment="1">
      <alignment horizontal="left" vertical="center"/>
    </xf>
  </cellXfs>
  <cellStyles count="70">
    <cellStyle name="계산" xfId="68" builtinId="22"/>
    <cellStyle name="메모" xfId="69" builtinId="10"/>
    <cellStyle name="백분율" xfId="67" builtinId="5"/>
    <cellStyle name="표준" xfId="0" builtinId="0"/>
    <cellStyle name="표준 10" xfId="1" xr:uid="{00000000-0005-0000-0000-000001000000}"/>
    <cellStyle name="표준 10 2" xfId="2" xr:uid="{00000000-0005-0000-0000-000002000000}"/>
    <cellStyle name="표준 10 2 2" xfId="3" xr:uid="{00000000-0005-0000-0000-000003000000}"/>
    <cellStyle name="표준 2" xfId="4" xr:uid="{00000000-0005-0000-0000-000004000000}"/>
    <cellStyle name="표준 2 2" xfId="5" xr:uid="{00000000-0005-0000-0000-000005000000}"/>
    <cellStyle name="표준 2 2 2" xfId="6" xr:uid="{00000000-0005-0000-0000-000006000000}"/>
    <cellStyle name="표준 2 2 2 2" xfId="7" xr:uid="{00000000-0005-0000-0000-000007000000}"/>
    <cellStyle name="표준 2 2 2 2 2" xfId="8" xr:uid="{00000000-0005-0000-0000-000008000000}"/>
    <cellStyle name="표준 2 2 2 2 3" xfId="9" xr:uid="{00000000-0005-0000-0000-000009000000}"/>
    <cellStyle name="표준 2 2 2 3" xfId="10" xr:uid="{00000000-0005-0000-0000-00000A000000}"/>
    <cellStyle name="표준 2 2 2 4" xfId="11" xr:uid="{00000000-0005-0000-0000-00000B000000}"/>
    <cellStyle name="표준 2 2 3" xfId="12" xr:uid="{00000000-0005-0000-0000-00000C000000}"/>
    <cellStyle name="표준 2 2 3 2" xfId="13" xr:uid="{00000000-0005-0000-0000-00000D000000}"/>
    <cellStyle name="표준 2 2 3 2 2" xfId="14" xr:uid="{00000000-0005-0000-0000-00000E000000}"/>
    <cellStyle name="표준 2 2 3 2 3" xfId="15" xr:uid="{00000000-0005-0000-0000-00000F000000}"/>
    <cellStyle name="표준 2 2 3 3" xfId="16" xr:uid="{00000000-0005-0000-0000-000010000000}"/>
    <cellStyle name="표준 2 2 3 4" xfId="17" xr:uid="{00000000-0005-0000-0000-000011000000}"/>
    <cellStyle name="표준 2 2 4" xfId="18" xr:uid="{00000000-0005-0000-0000-000012000000}"/>
    <cellStyle name="표준 2 2 5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3 2 2" xfId="22" xr:uid="{00000000-0005-0000-0000-000016000000}"/>
    <cellStyle name="표준 2 3 2 3" xfId="23" xr:uid="{00000000-0005-0000-0000-000017000000}"/>
    <cellStyle name="표준 2 3 3" xfId="24" xr:uid="{00000000-0005-0000-0000-000018000000}"/>
    <cellStyle name="표준 2 3 3 2" xfId="25" xr:uid="{00000000-0005-0000-0000-000019000000}"/>
    <cellStyle name="표준 2 3 4" xfId="26" xr:uid="{00000000-0005-0000-0000-00001A000000}"/>
    <cellStyle name="표준 2 3 5" xfId="27" xr:uid="{00000000-0005-0000-0000-00001B000000}"/>
    <cellStyle name="표준 2 4" xfId="28" xr:uid="{00000000-0005-0000-0000-00001C000000}"/>
    <cellStyle name="표준 2 4 2" xfId="29" xr:uid="{00000000-0005-0000-0000-00001D000000}"/>
    <cellStyle name="표준 2 4 2 2" xfId="30" xr:uid="{00000000-0005-0000-0000-00001E000000}"/>
    <cellStyle name="표준 2 4 2 3" xfId="31" xr:uid="{00000000-0005-0000-0000-00001F000000}"/>
    <cellStyle name="표준 2 4 3" xfId="32" xr:uid="{00000000-0005-0000-0000-000020000000}"/>
    <cellStyle name="표준 2 4 4" xfId="33" xr:uid="{00000000-0005-0000-0000-000021000000}"/>
    <cellStyle name="표준 2 5" xfId="34" xr:uid="{00000000-0005-0000-0000-000022000000}"/>
    <cellStyle name="표준 2 5 2" xfId="35" xr:uid="{00000000-0005-0000-0000-000023000000}"/>
    <cellStyle name="표준 2 5 3" xfId="36" xr:uid="{00000000-0005-0000-0000-000024000000}"/>
    <cellStyle name="표준 2 6" xfId="37" xr:uid="{00000000-0005-0000-0000-000025000000}"/>
    <cellStyle name="표준 2 6 2" xfId="38" xr:uid="{00000000-0005-0000-0000-000026000000}"/>
    <cellStyle name="표준 2 7" xfId="39" xr:uid="{00000000-0005-0000-0000-000027000000}"/>
    <cellStyle name="표준 2 8" xfId="40" xr:uid="{00000000-0005-0000-0000-000028000000}"/>
    <cellStyle name="표준 3" xfId="41" xr:uid="{00000000-0005-0000-0000-000029000000}"/>
    <cellStyle name="표준 3 2" xfId="42" xr:uid="{00000000-0005-0000-0000-00002A000000}"/>
    <cellStyle name="표준 3 3" xfId="43" xr:uid="{00000000-0005-0000-0000-00002B000000}"/>
    <cellStyle name="표준 3 4" xfId="44" xr:uid="{00000000-0005-0000-0000-00002C000000}"/>
    <cellStyle name="표준 4" xfId="45" xr:uid="{00000000-0005-0000-0000-00002D000000}"/>
    <cellStyle name="표준 4 2" xfId="46" xr:uid="{00000000-0005-0000-0000-00002E000000}"/>
    <cellStyle name="표준 4 2 2" xfId="47" xr:uid="{00000000-0005-0000-0000-00002F000000}"/>
    <cellStyle name="표준 4 2 3" xfId="48" xr:uid="{00000000-0005-0000-0000-000030000000}"/>
    <cellStyle name="표준 4 2 4" xfId="49" xr:uid="{00000000-0005-0000-0000-000031000000}"/>
    <cellStyle name="표준 4 3" xfId="50" xr:uid="{00000000-0005-0000-0000-000032000000}"/>
    <cellStyle name="표준 4 4" xfId="51" xr:uid="{00000000-0005-0000-0000-000033000000}"/>
    <cellStyle name="표준 5" xfId="52" xr:uid="{00000000-0005-0000-0000-000034000000}"/>
    <cellStyle name="표준 5 2" xfId="53" xr:uid="{00000000-0005-0000-0000-000035000000}"/>
    <cellStyle name="표준 5 3" xfId="54" xr:uid="{00000000-0005-0000-0000-000036000000}"/>
    <cellStyle name="표준 5 4" xfId="55" xr:uid="{00000000-0005-0000-0000-000037000000}"/>
    <cellStyle name="표준 6" xfId="56" xr:uid="{00000000-0005-0000-0000-000038000000}"/>
    <cellStyle name="표준 6 10" xfId="57" xr:uid="{00000000-0005-0000-0000-000039000000}"/>
    <cellStyle name="표준 7" xfId="58" xr:uid="{00000000-0005-0000-0000-00003A000000}"/>
    <cellStyle name="표준 7 2" xfId="59" xr:uid="{00000000-0005-0000-0000-00003B000000}"/>
    <cellStyle name="표준 8" xfId="60" xr:uid="{00000000-0005-0000-0000-00003C000000}"/>
    <cellStyle name="표준 9" xfId="61" xr:uid="{00000000-0005-0000-0000-00003D000000}"/>
    <cellStyle name="표준_IA 사이트구조도_Index_20021209_사이트리뉴얼_허윤희" xfId="66" xr:uid="{00000000-0005-0000-0000-00003E000000}"/>
    <cellStyle name="표준_PMC_이슈_Action Item 관리대장_v2.0" xfId="62" xr:uid="{00000000-0005-0000-0000-00003F000000}"/>
    <cellStyle name="하이퍼링크 2" xfId="63" xr:uid="{00000000-0005-0000-0000-000040000000}"/>
    <cellStyle name="하이퍼링크 2 2" xfId="64" xr:uid="{00000000-0005-0000-0000-000041000000}"/>
    <cellStyle name="하이퍼링크 2 3" xfId="65" xr:uid="{00000000-0005-0000-0000-000042000000}"/>
  </cellStyles>
  <dxfs count="1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표 스타일 1" defaultPivotStyle="PivotStyleLight16">
    <tableStyle name="표 스타일 1" pivot="0" count="3" xr9:uid="{31611E4E-8E5F-4651-9852-8B822E20796C}">
      <tableStyleElement type="wholeTable" dxfId="148"/>
      <tableStyleElement type="headerRow" dxfId="147"/>
      <tableStyleElement type="firstColumnStripe" dxfId="1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7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8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344979</xdr:colOff>
      <xdr:row>8</xdr:row>
      <xdr:rowOff>11084</xdr:rowOff>
    </xdr:from>
    <xdr:to>
      <xdr:col>7</xdr:col>
      <xdr:colOff>344979</xdr:colOff>
      <xdr:row>10</xdr:row>
      <xdr:rowOff>101139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86125325-E5CF-4359-9C0F-BA6A69886908}"/>
            </a:ext>
          </a:extLst>
        </xdr:cNvPr>
        <xdr:cNvSpPr>
          <a:spLocks noChangeShapeType="1"/>
        </xdr:cNvSpPr>
      </xdr:nvSpPr>
      <xdr:spPr bwMode="auto">
        <a:xfrm>
          <a:off x="4476404" y="1241368"/>
          <a:ext cx="0" cy="422564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357612</xdr:colOff>
      <xdr:row>6</xdr:row>
      <xdr:rowOff>49876</xdr:rowOff>
    </xdr:from>
    <xdr:ext cx="3867597" cy="1141843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CC414E7-D5B2-4391-B25F-DDC96EEC4281}"/>
            </a:ext>
          </a:extLst>
        </xdr:cNvPr>
        <xdr:cNvSpPr txBox="1">
          <a:spLocks noChangeArrowheads="1"/>
        </xdr:cNvSpPr>
      </xdr:nvSpPr>
      <xdr:spPr bwMode="auto">
        <a:xfrm>
          <a:off x="357612" y="947651"/>
          <a:ext cx="3867597" cy="11418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118800" rIns="91440" bIns="45720" anchor="t" upright="1">
          <a:spAutoFit/>
        </a:bodyPr>
        <a:lstStyle/>
        <a:p>
          <a:pPr algn="r" rtl="1">
            <a:defRPr sz="1000"/>
          </a:pP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통합테스트 시나리오 및 결과서</a:t>
          </a:r>
        </a:p>
        <a:p>
          <a:pPr algn="r" rtl="1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/>
            </a:rPr>
            <a:t>3TOP Project Management Methodology</a:t>
          </a:r>
        </a:p>
        <a:p>
          <a:pPr algn="r" rtl="1">
            <a:defRPr sz="1000"/>
          </a:pPr>
          <a:endParaRPr lang="en-US" altLang="ko-KR" sz="1200" b="0" i="0" strike="noStrike">
            <a:solidFill>
              <a:srgbClr val="000000"/>
            </a:solidFill>
            <a:latin typeface="나눔고딕 ExtraBold" pitchFamily="50" charset="-127"/>
            <a:ea typeface="나눔고딕 ExtraBold" pitchFamily="50" charset="-127"/>
            <a:cs typeface="Arial"/>
          </a:endParaRPr>
        </a:p>
      </xdr:txBody>
    </xdr:sp>
    <xdr:clientData/>
  </xdr:oneCellAnchor>
  <xdr:twoCellAnchor>
    <xdr:from>
      <xdr:col>7</xdr:col>
      <xdr:colOff>570808</xdr:colOff>
      <xdr:row>8</xdr:row>
      <xdr:rowOff>133176</xdr:rowOff>
    </xdr:from>
    <xdr:to>
      <xdr:col>9</xdr:col>
      <xdr:colOff>370783</xdr:colOff>
      <xdr:row>12</xdr:row>
      <xdr:rowOff>85551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9A0E6239-B912-4FFA-9A67-9A40F23A2635}"/>
            </a:ext>
          </a:extLst>
        </xdr:cNvPr>
        <xdr:cNvSpPr txBox="1">
          <a:spLocks noChangeArrowheads="1"/>
        </xdr:cNvSpPr>
      </xdr:nvSpPr>
      <xdr:spPr bwMode="auto">
        <a:xfrm>
          <a:off x="4702233" y="1363460"/>
          <a:ext cx="980383" cy="617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3152" tIns="54864" rIns="0" bIns="0" anchor="t" upright="1"/>
        <a:lstStyle/>
        <a:p>
          <a:pPr algn="l" rtl="0">
            <a:defRPr sz="1000"/>
          </a:pPr>
          <a:r>
            <a:rPr lang="en-US" altLang="ko-KR" sz="1600" b="0" i="0" strike="noStrike">
              <a:solidFill>
                <a:srgbClr val="808080"/>
              </a:solidFill>
              <a:latin typeface="나눔고딕" pitchFamily="50" charset="-127"/>
              <a:ea typeface="나눔고딕" pitchFamily="50" charset="-127"/>
            </a:rPr>
            <a:t>v0.1</a:t>
          </a:r>
        </a:p>
      </xdr:txBody>
    </xdr:sp>
    <xdr:clientData/>
  </xdr:twoCellAnchor>
  <xdr:twoCellAnchor editAs="oneCell">
    <xdr:from>
      <xdr:col>1</xdr:col>
      <xdr:colOff>0</xdr:colOff>
      <xdr:row>1</xdr:row>
      <xdr:rowOff>38100</xdr:rowOff>
    </xdr:from>
    <xdr:to>
      <xdr:col>2</xdr:col>
      <xdr:colOff>104775</xdr:colOff>
      <xdr:row>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F70070-1F88-4AC9-A9D5-2F717005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866775" cy="266700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27</xdr:row>
      <xdr:rowOff>85725</xdr:rowOff>
    </xdr:from>
    <xdr:to>
      <xdr:col>9</xdr:col>
      <xdr:colOff>15239</xdr:colOff>
      <xdr:row>28</xdr:row>
      <xdr:rowOff>108585</xdr:rowOff>
    </xdr:to>
    <xdr:pic>
      <xdr:nvPicPr>
        <xdr:cNvPr id="15" name="그림 14" descr="3top_logo">
          <a:extLst>
            <a:ext uri="{FF2B5EF4-FFF2-40B4-BE49-F238E27FC236}">
              <a16:creationId xmlns:a16="http://schemas.microsoft.com/office/drawing/2014/main" id="{3762C36A-CE35-42D5-821D-A379DCE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49" y="6334125"/>
          <a:ext cx="605790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7</xdr:col>
          <xdr:colOff>9525</xdr:colOff>
          <xdr:row>3</xdr:row>
          <xdr:rowOff>104775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72A381C-E6D4-46AA-886A-FF27B7D57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550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525"/>
              <a:ext cx="5944812" cy="76858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185478</xdr:colOff>
      <xdr:row>1</xdr:row>
      <xdr:rowOff>76200</xdr:rowOff>
    </xdr:from>
    <xdr:to>
      <xdr:col>0</xdr:col>
      <xdr:colOff>944187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380043-3348-4F47-81F5-17D4D3F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78" y="417022"/>
          <a:ext cx="758709" cy="2649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11</xdr:col>
          <xdr:colOff>114300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0D129E2-F8BD-4D80-AACE-DEABDA04CF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879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11</xdr:col>
          <xdr:colOff>114300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179FD1E-2D04-402C-AA1D-E1E41BBF3F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8798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9</xdr:col>
          <xdr:colOff>1125894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2D5EC28-FB34-426E-8837-FF9E68E840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916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1" y="0"/>
              <a:ext cx="7506392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9</xdr:col>
          <xdr:colOff>1396050</xdr:colOff>
          <xdr:row>0</xdr:row>
          <xdr:rowOff>773084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4746F47-E491-4839-A66D-7F2157363A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06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5815" y="0"/>
              <a:ext cx="7764087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9</xdr:col>
          <xdr:colOff>1318231</xdr:colOff>
          <xdr:row>0</xdr:row>
          <xdr:rowOff>773084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F0D00A1-9F75-4537-BC99-D0644CF50AD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16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1" y="0"/>
              <a:ext cx="7761153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9</xdr:col>
          <xdr:colOff>1427944</xdr:colOff>
          <xdr:row>0</xdr:row>
          <xdr:rowOff>773084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4F3B8ED9-06EF-4693-A763-BD2FB88920E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26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4729" y="0"/>
              <a:ext cx="7764087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0</xdr:row>
          <xdr:rowOff>0</xdr:rowOff>
        </xdr:from>
        <xdr:to>
          <xdr:col>10</xdr:col>
          <xdr:colOff>105132</xdr:colOff>
          <xdr:row>0</xdr:row>
          <xdr:rowOff>773084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E9C3DAB1-9183-47E8-9DC8-B2DA2CB39EA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37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1" y="0"/>
              <a:ext cx="7761153" cy="77308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209550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F4E64596-C055-4D90-8249-EA990319F1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1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209550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31F00632-25D1-4102-8BC4-F2880BA9B5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11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209550</xdr:colOff>
          <xdr:row>0</xdr:row>
          <xdr:rowOff>781050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6C1E549E-E7D4-4D9E-9A40-3EFB9C11DB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11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박지숙" id="{6F0F77DD-8400-4FBA-A3B0-482892D67D56}" userId="박지숙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5E417-448F-4721-B786-0A5E09CEC90C}" name="표3_5" displayName="표3_5" ref="B5:M10" totalsRowShown="0" headerRowDxfId="145" dataDxfId="144" headerRowCellStyle="표준 2" dataCellStyle="표준 2">
  <autoFilter ref="B5:M10" xr:uid="{9047FADC-3894-4F04-95C9-ADAB5673CECA}"/>
  <tableColumns count="12">
    <tableColumn id="1" xr3:uid="{5AFBE69A-9801-420D-8B9A-36F7D19FB60A}" name="SYS" dataDxfId="143"/>
    <tableColumn id="2" xr3:uid="{460DB3C9-C3FD-45AD-A513-1AE9526813CA}" name="시나리오 수" dataDxfId="142"/>
    <tableColumn id="3" xr3:uid="{644521FD-D98A-4A42-996E-7245C163A052}" name="Pass" dataDxfId="141"/>
    <tableColumn id="4" xr3:uid="{74564306-0B99-4F6A-9558-2246F7CC99C4}" name="Fail" dataDxfId="140"/>
    <tableColumn id="5" xr3:uid="{B2B04085-282D-4AB8-A1B5-3CDC431CB871}" name="Block" dataDxfId="139"/>
    <tableColumn id="6" xr3:uid="{2C76050F-6A28-4217-8F99-CB7A5BD15F2B}" name="N/A" dataDxfId="138"/>
    <tableColumn id="7" xr3:uid="{0ADE8BC1-39F1-45D1-9427-232E9A0150C3}" name="Total" dataDxfId="137" dataCellStyle="표준 2"/>
    <tableColumn id="8" xr3:uid="{89C9C061-50B0-4E92-8032-1FBD0F43C575}" name="진척율" dataDxfId="136" dataCellStyle="백분율">
      <calculatedColumnFormula>IFERROR(표3_5[[#This Row],[Total]]/표3_5[[#This Row],[시나리오 수]],0)</calculatedColumnFormula>
    </tableColumn>
    <tableColumn id="9" xr3:uid="{F7C45364-D388-4D17-8E9A-157B10E7DE40}" name="수행율" dataDxfId="135" dataCellStyle="백분율">
      <calculatedColumnFormula>IFERROR(SUM(표3_5[[#This Row],[Pass]:[Fail]])/표3_5[[#This Row],[시나리오 수]],0)</calculatedColumnFormula>
    </tableColumn>
    <tableColumn id="10" xr3:uid="{7B88E86A-4B77-484A-B136-95D27EC9BF68}" name="성공율" dataDxfId="134" dataCellStyle="백분율"/>
    <tableColumn id="11" xr3:uid="{51D1AF8D-F8EC-40BE-8257-FF6C339F1E64}" name="결함율" dataDxfId="133" dataCellStyle="백분율">
      <calculatedColumnFormula>IFERROR((표3_5[[#This Row],[Fail]]/SUM(표3_5[[#This Row],[Pass]:[Fail]])),0)</calculatedColumnFormula>
    </tableColumn>
    <tableColumn id="12" xr3:uid="{0803FBCB-4972-4A80-87C4-4602D5ED852F}" name="수행불가율" dataDxfId="132" dataCellStyle="백분율">
      <calculatedColumnFormula>IFERROR((표3_5[[#This Row],[N/A]]/표3_5[[#This Row],[시나리오 수]]),0)</calculatedColumnFormula>
    </tableColumn>
  </tableColumns>
  <tableStyleInfo name="표 스타일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EC1F15-CF23-4E6D-B57E-14A780219677}" name="표3_6" displayName="표3_6" ref="B45:M51" totalsRowShown="0" headerRowDxfId="131" dataDxfId="130" headerRowCellStyle="표준 2" dataCellStyle="표준 2">
  <autoFilter ref="B45:M51" xr:uid="{0973CF84-A5EF-4EF6-9FFF-5385A93CBED2}"/>
  <tableColumns count="12">
    <tableColumn id="1" xr3:uid="{A9A10ECE-65CD-4B9C-AAB5-5E618CB3DD20}" name="Sheet명" dataDxfId="129"/>
    <tableColumn id="2" xr3:uid="{C5AD0311-1CCD-4B94-9ACF-70EE5324929B}" name="시나리오 수" dataDxfId="128"/>
    <tableColumn id="3" xr3:uid="{CE86FC47-70E5-414E-AC97-0D21E664227F}" name="Pass" dataDxfId="127"/>
    <tableColumn id="4" xr3:uid="{D147512F-3A64-4D3B-9370-473FD547731B}" name="Fail" dataDxfId="126"/>
    <tableColumn id="5" xr3:uid="{4BE5885D-B65D-415B-BFD2-22CA28CFEB4B}" name="Block" dataDxfId="125"/>
    <tableColumn id="6" xr3:uid="{F79962A7-F61C-490A-90C3-F5F3CCF6F6A6}" name="N/A" dataDxfId="124"/>
    <tableColumn id="7" xr3:uid="{616E33AF-BBA7-4A2D-A727-F24013DC82E3}" name="Total" dataDxfId="123" dataCellStyle="표준 2"/>
    <tableColumn id="8" xr3:uid="{D147F94F-659E-4F02-92F6-3B4640EBFB63}" name="진척율" dataDxfId="122" dataCellStyle="백분율">
      <calculatedColumnFormula>IFERROR(표3_6[[#This Row],[Total]]/표3_6[[#This Row],[시나리오 수]],0)</calculatedColumnFormula>
    </tableColumn>
    <tableColumn id="9" xr3:uid="{95E74629-77B8-4DC0-99FC-F8AFE322D1FA}" name="수행율" dataDxfId="121" dataCellStyle="백분율">
      <calculatedColumnFormula>IFERROR(SUM(표3_6[[#This Row],[Pass]:[Fail]])/표3_6[[#This Row],[시나리오 수]],0)</calculatedColumnFormula>
    </tableColumn>
    <tableColumn id="10" xr3:uid="{31B8AB6B-6566-462F-8204-3624F1F439F7}" name="성공율" dataDxfId="120" dataCellStyle="백분율"/>
    <tableColumn id="11" xr3:uid="{0A75E969-B206-4D4C-B75B-0C57B1E8641D}" name="결함율" dataDxfId="119" dataCellStyle="백분율">
      <calculatedColumnFormula>IFERROR((표3_6[[#This Row],[Fail]]/SUM(표3_6[[#This Row],[Pass]:[Fail]])),0)</calculatedColumnFormula>
    </tableColumn>
    <tableColumn id="12" xr3:uid="{5882E98B-73EC-46A9-9B37-6E5144AFBA5C}" name="수행불가율" dataDxfId="118" dataCellStyle="백분율">
      <calculatedColumnFormula>IFERROR((표3_6[[#This Row],[N/A]]/표3_6[[#This Row],[시나리오 수]]),0)</calculatedColumnFormula>
    </tableColumn>
  </tableColumns>
  <tableStyleInfo name="표 스타일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750741-7E64-4E9D-A4F5-D81CAA8EBF6E}" name="표3_57" displayName="표3_57" ref="B53:M58" totalsRowShown="0" headerRowDxfId="117" dataDxfId="116" headerRowCellStyle="표준 2" dataCellStyle="표준 2">
  <autoFilter ref="B53:M58" xr:uid="{8448BA65-4D99-4F77-988B-FD881071478C}"/>
  <tableColumns count="12">
    <tableColumn id="1" xr3:uid="{6A95771C-3B0C-477B-A760-CC63387F9476}" name="SYS" dataDxfId="115"/>
    <tableColumn id="2" xr3:uid="{F98C1B45-66EB-4328-BF3C-84234D7CB53F}" name="시나리오 수" dataDxfId="114"/>
    <tableColumn id="3" xr3:uid="{36C3AA9C-D663-439D-96D3-018EE57097B6}" name="Pass" dataDxfId="113"/>
    <tableColumn id="4" xr3:uid="{7D352D2C-34F1-4292-9FCD-E65A0B4E0DED}" name="Fail" dataDxfId="112"/>
    <tableColumn id="5" xr3:uid="{DF294094-EC0D-48E0-AA87-393874D7BD58}" name="Block" dataDxfId="111"/>
    <tableColumn id="6" xr3:uid="{8F5BF226-A53B-4B94-A8A9-FBD6F60EB1D0}" name="N/A" dataDxfId="110"/>
    <tableColumn id="7" xr3:uid="{D7FBF215-08AF-415B-A8B5-550779E17DD5}" name="Total" dataDxfId="109" dataCellStyle="표준 2"/>
    <tableColumn id="8" xr3:uid="{5503C76F-C345-43DB-8732-546A5207CA24}" name="진척율" dataDxfId="108" dataCellStyle="백분율">
      <calculatedColumnFormula>IFERROR(표3_57[[#This Row],[Total]]/표3_57[[#This Row],[시나리오 수]],0)</calculatedColumnFormula>
    </tableColumn>
    <tableColumn id="9" xr3:uid="{1CF18D0A-0647-4450-9689-FEDCED1B0DF9}" name="수행율" dataDxfId="107" dataCellStyle="백분율">
      <calculatedColumnFormula>IFERROR(SUM(표3_57[[#This Row],[Pass]:[Fail]])/표3_57[[#This Row],[시나리오 수]],0)</calculatedColumnFormula>
    </tableColumn>
    <tableColumn id="10" xr3:uid="{855B6F97-235D-4D35-9058-974ECB7497DC}" name="성공율" dataDxfId="106" dataCellStyle="백분율"/>
    <tableColumn id="11" xr3:uid="{57B31767-4EE9-4F22-8FFB-6A5D3E6108CB}" name="결함율" dataDxfId="105" dataCellStyle="백분율">
      <calculatedColumnFormula>IFERROR((표3_57[[#This Row],[Fail]]/SUM(표3_57[[#This Row],[Pass]:[Fail]])),0)</calculatedColumnFormula>
    </tableColumn>
    <tableColumn id="12" xr3:uid="{8E616940-EE41-4CDE-BBFD-1AAE99074729}" name="수행불가율" dataDxfId="104" dataCellStyle="백분율">
      <calculatedColumnFormula>IFERROR((표3_57[[#This Row],[N/A]]/표3_57[[#This Row],[시나리오 수]]),0)</calculatedColumnFormula>
    </tableColumn>
  </tableColumns>
  <tableStyleInfo name="표 스타일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C400A-0323-4544-9026-F4116EAC51DA}" name="표3_58" displayName="표3_58" ref="B14:M19" totalsRowShown="0" headerRowDxfId="103" dataDxfId="102" headerRowCellStyle="표준 2" dataCellStyle="표준 2">
  <autoFilter ref="B14:M19" xr:uid="{E4DAC68B-224D-4A27-A8D5-919A1D4DAC42}"/>
  <tableColumns count="12">
    <tableColumn id="1" xr3:uid="{A13A9FC1-1852-413F-8FEA-5C580FBEFF65}" name="SYS" dataDxfId="101"/>
    <tableColumn id="2" xr3:uid="{75A7CCD8-799E-45E2-8CD5-284464DD4E0F}" name="시나리오 수" dataDxfId="100"/>
    <tableColumn id="3" xr3:uid="{3DC4CC1A-1CEB-4CB5-AD11-ED2581F52A84}" name="Pass" dataDxfId="99"/>
    <tableColumn id="4" xr3:uid="{D6C37E99-2A2E-4332-8195-1EB0E3801994}" name="Fail" dataDxfId="98"/>
    <tableColumn id="5" xr3:uid="{B08669E3-F196-432D-B707-7B1AB07DE1C0}" name="Block" dataDxfId="97"/>
    <tableColumn id="6" xr3:uid="{EAAFFBDE-9B0A-4B56-B518-2F5ED3F94150}" name="N/A" dataDxfId="96"/>
    <tableColumn id="7" xr3:uid="{696BA8FF-46A7-4E12-8B95-B1812A6C89CC}" name="Total" dataDxfId="95" dataCellStyle="표준 2"/>
    <tableColumn id="8" xr3:uid="{7FD4FBA6-2911-433E-AFC3-76A0A167CEA1}" name="진척율" dataDxfId="94" dataCellStyle="백분율">
      <calculatedColumnFormula>IFERROR(표3_58[[#This Row],[Total]]/표3_58[[#This Row],[시나리오 수]],0)</calculatedColumnFormula>
    </tableColumn>
    <tableColumn id="9" xr3:uid="{F7A83938-B61A-44FD-8F72-167A11B6C2CB}" name="수행율" dataDxfId="93" dataCellStyle="백분율">
      <calculatedColumnFormula>IFERROR(SUM(표3_58[[#This Row],[Pass]:[Fail]])/표3_58[[#This Row],[시나리오 수]],0)</calculatedColumnFormula>
    </tableColumn>
    <tableColumn id="10" xr3:uid="{B29B28EE-39AA-4F3A-A66E-F31E0ECE77FC}" name="성공율" dataDxfId="92" dataCellStyle="백분율"/>
    <tableColumn id="11" xr3:uid="{DE389884-F0FD-4925-9A4A-CF30AB6C4A90}" name="결함율" dataDxfId="91" dataCellStyle="백분율">
      <calculatedColumnFormula>IFERROR((표3_58[[#This Row],[Fail]]/SUM(표3_58[[#This Row],[Pass]:[Fail]])),0)</calculatedColumnFormula>
    </tableColumn>
    <tableColumn id="12" xr3:uid="{AB4FB705-4D67-411E-AA25-3FE058496610}" name="수행불가율" dataDxfId="90" dataCellStyle="백분율">
      <calculatedColumnFormula>IFERROR((표3_58[[#This Row],[N/A]]/표3_58[[#This Row],[시나리오 수]]),0)</calculatedColumnFormula>
    </tableColumn>
  </tableColumns>
  <tableStyleInfo name="표 스타일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35C5F-F65A-4C72-8281-D5B7A971448C}" name="표1" displayName="표1" ref="B11:Q81" totalsRowShown="0" headerRowDxfId="89" dataDxfId="88">
  <autoFilter ref="B11:Q81" xr:uid="{1A96BD34-1F0B-42BF-AF17-6960E6AF6C24}"/>
  <tableColumns count="16">
    <tableColumn id="1" xr3:uid="{AD3965BB-091C-444E-A592-FCA7BBFCA2C3}" name="No." dataDxfId="87"/>
    <tableColumn id="2" xr3:uid="{0D26D316-E602-4678-858D-AEA96E505F08}" name="사이트" dataDxfId="86"/>
    <tableColumn id="4" xr3:uid="{30989DEF-0AAA-4D86-959C-017CF2DCDC35}" name="ID" dataDxfId="85"/>
    <tableColumn id="3" xr3:uid="{CD9E260A-BDC5-42A3-A1C3-F2698195F39E}" name="시나리오명" dataDxfId="84"/>
    <tableColumn id="17" xr3:uid="{26A13264-D736-4A4E-904D-08D48FAA618D}" name="SYS" dataDxfId="83"/>
    <tableColumn id="18" xr3:uid="{1DC3A709-3411-44E4-9837-84E3BD5D7BA4}" name="중요도" dataDxfId="82"/>
    <tableColumn id="15" xr3:uid="{32AC72F0-B722-4210-B129-FD00D50FAC7D}" name="테스트 항목" dataDxfId="81"/>
    <tableColumn id="19" xr3:uid="{34312FFD-05E4-461B-8859-FDF503BFC1F8}" name="수행 절차" dataDxfId="80"/>
    <tableColumn id="5" xr3:uid="{1E410420-8AE8-43E3-8C09-485919A5CE98}" name="입력값" dataDxfId="79"/>
    <tableColumn id="6" xr3:uid="{D894315E-5525-4E6D-B5B6-856E073D2B41}" name="기대 결과" dataDxfId="78"/>
    <tableColumn id="7" xr3:uid="{62EE7247-B07D-4BD5-9D54-3BA9F885A7D4}" name="수행일자" dataDxfId="77"/>
    <tableColumn id="8" xr3:uid="{B00CEC53-8BA0-4C51-9F77-0A074349D5C5}" name="수행자" dataDxfId="76"/>
    <tableColumn id="9" xr3:uid="{70F41129-A430-4CCD-A4EE-0AC73518E320}" name="테스트결과" dataDxfId="75" dataCellStyle="표준 2"/>
    <tableColumn id="16" xr3:uid="{46151ADC-4F15-42D2-94E5-0AB17A1C72C8}" name="결함사항" dataDxfId="74" dataCellStyle="표준 2"/>
    <tableColumn id="20" xr3:uid="{006306F0-991D-4D5D-B23D-21D220BB653D}" name="수정여부" dataDxfId="73" dataCellStyle="표준 2"/>
    <tableColumn id="14" xr3:uid="{CF6DC52A-6A49-4E6A-8E45-092AE9E7F0CD}" name="비고" dataDxfId="72" dataCellStyle="표준 2"/>
  </tableColumns>
  <tableStyleInfo name="표 스타일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24267-4847-4AA9-B5A7-E328C8A3FA4B}" name="표1_3" displayName="표1_3" ref="B11:Q54" totalsRowShown="0" headerRowDxfId="71" dataDxfId="70">
  <autoFilter ref="B11:Q54" xr:uid="{1A96BD34-1F0B-42BF-AF17-6960E6AF6C24}"/>
  <tableColumns count="16">
    <tableColumn id="1" xr3:uid="{0E002F3E-1A30-4594-B84E-0489E90E558F}" name="No." dataDxfId="69"/>
    <tableColumn id="2" xr3:uid="{93475FA4-4A7F-432C-99BB-43A85DBA9DC7}" name="사이트" dataDxfId="68"/>
    <tableColumn id="4" xr3:uid="{3FE5BF09-73F7-42CC-BA8A-F698C91B8F9A}" name="ID" dataDxfId="67"/>
    <tableColumn id="3" xr3:uid="{116DF9A4-7F77-485B-9CF8-1155174337A1}" name="시나리오명" dataDxfId="66"/>
    <tableColumn id="17" xr3:uid="{5CA7C319-E591-42E3-BB38-8CB4547E1F84}" name="SYS" dataDxfId="65"/>
    <tableColumn id="18" xr3:uid="{D2C98C4F-DFAD-46A3-8399-B95AD3086B12}" name="중요도" dataDxfId="64"/>
    <tableColumn id="15" xr3:uid="{037B5709-3EB5-482B-95BC-07FE259FD3B5}" name="테스트 항목" dataDxfId="63"/>
    <tableColumn id="19" xr3:uid="{EDF0B51E-3783-4DA7-9A44-B77123C3745D}" name="수행 절차" dataDxfId="62"/>
    <tableColumn id="5" xr3:uid="{A41E86A6-C925-4285-83E3-1EAF4D950AD7}" name="입력값" dataDxfId="61"/>
    <tableColumn id="6" xr3:uid="{53AC9538-5D38-439B-9325-2A992AD53A43}" name="기대 결과" dataDxfId="60"/>
    <tableColumn id="7" xr3:uid="{706FCFB3-5BB2-4967-B3D0-A2FCFEE2DC35}" name="수행일자" dataDxfId="59"/>
    <tableColumn id="8" xr3:uid="{FDC76C6F-0C81-410C-9A09-A8562515A919}" name="수행자" dataDxfId="58"/>
    <tableColumn id="9" xr3:uid="{10959390-D5D9-481E-B75A-BD5AF003F3FC}" name="테스트결과" dataDxfId="57" dataCellStyle="표준 2"/>
    <tableColumn id="16" xr3:uid="{C18D82A7-494A-4F37-8574-CA9931E6B16A}" name="결함사항" dataDxfId="56" dataCellStyle="표준 2"/>
    <tableColumn id="20" xr3:uid="{1046911C-6F07-4935-BF72-5C646DFEA309}" name="수정여부" dataDxfId="55" dataCellStyle="표준 2"/>
    <tableColumn id="14" xr3:uid="{65D6C6DE-9D7E-4F57-8E48-E427C2ABC3E2}" name="비고" dataDxfId="54" dataCellStyle="표준 2"/>
  </tableColumns>
  <tableStyleInfo name="표 스타일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17548-C530-4659-A341-299BC4DFC305}" name="표1_34" displayName="표1_34" ref="B11:Q68" totalsRowShown="0" headerRowDxfId="53" dataDxfId="52">
  <autoFilter ref="B11:Q68" xr:uid="{1A96BD34-1F0B-42BF-AF17-6960E6AF6C24}"/>
  <tableColumns count="16">
    <tableColumn id="1" xr3:uid="{169726CE-7F6D-4168-AF0F-FAC44BE623D2}" name="No." dataDxfId="51"/>
    <tableColumn id="2" xr3:uid="{A2E8CCB1-B375-4552-90A2-07039F1540B2}" name="사이트" dataDxfId="50"/>
    <tableColumn id="4" xr3:uid="{ECED0A44-B5D6-4CAD-BD2F-2AB386C4A301}" name="ID" dataDxfId="49"/>
    <tableColumn id="3" xr3:uid="{9C1366E2-0933-4CA8-BA86-22F55C930825}" name="시나리오명" dataDxfId="48"/>
    <tableColumn id="17" xr3:uid="{F1E55F6A-7EBD-446D-AD7A-5A54DCB8E545}" name="SYS" dataDxfId="47"/>
    <tableColumn id="18" xr3:uid="{19582CD1-99FC-4404-A214-2D887BF50B4B}" name="중요도" dataDxfId="46"/>
    <tableColumn id="15" xr3:uid="{B5F3E35D-6A94-4818-888B-C7C0679B299F}" name="테스트 항목" dataDxfId="45"/>
    <tableColumn id="19" xr3:uid="{FD3F749B-E16D-48BA-AAB4-DC9D0CDD5C1A}" name="수행 절차" dataDxfId="44"/>
    <tableColumn id="5" xr3:uid="{3EF1070E-A2A4-4474-9E37-1F9656A2E660}" name="입력값" dataDxfId="43"/>
    <tableColumn id="6" xr3:uid="{4CCD76F6-84E7-45C1-8F43-20C9F94CA28C}" name="기대 결과" dataDxfId="42"/>
    <tableColumn id="7" xr3:uid="{728123BF-C183-42FF-A27C-3174F915E34E}" name="수행일자" dataDxfId="41"/>
    <tableColumn id="8" xr3:uid="{39247962-54C7-497D-B7BF-05835A08000E}" name="수행자" dataDxfId="40"/>
    <tableColumn id="9" xr3:uid="{C1259358-7CB2-4479-977F-51865917DF5F}" name="테스트결과" dataDxfId="39" dataCellStyle="표준 2"/>
    <tableColumn id="16" xr3:uid="{5AF107A8-B75E-48B8-8740-19917AD8A5AC}" name="결함사항" dataDxfId="38" dataCellStyle="표준 2"/>
    <tableColumn id="20" xr3:uid="{A0FB2196-2AAB-46BE-8CCC-924117E31381}" name="수정여부" dataDxfId="37" dataCellStyle="표준 2"/>
    <tableColumn id="14" xr3:uid="{A9AE52F4-E5E3-45C4-87D5-B9D5154D3F7A}" name="비고" dataDxfId="36" dataCellStyle="표준 2"/>
  </tableColumns>
  <tableStyleInfo name="표 스타일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1DBE26-7280-4CA3-8DCD-674665E9610B}" name="표1_349" displayName="표1_349" ref="B11:Q82" totalsRowShown="0" headerRowDxfId="35" dataDxfId="34">
  <autoFilter ref="B11:Q82" xr:uid="{1A96BD34-1F0B-42BF-AF17-6960E6AF6C24}"/>
  <tableColumns count="16">
    <tableColumn id="1" xr3:uid="{A44BBD55-0737-4AFC-89CE-145F2F3C71BC}" name="No." dataDxfId="33"/>
    <tableColumn id="2" xr3:uid="{EA42BE9A-04E1-478A-B453-33B95D340EB1}" name="구분" dataDxfId="32"/>
    <tableColumn id="4" xr3:uid="{1F1FE5C1-D7E1-467C-9664-C69E7BF94787}" name="ID" dataDxfId="31"/>
    <tableColumn id="3" xr3:uid="{66482247-8E9A-473F-97EF-0AC99392BED3}" name="시나리오명" dataDxfId="30"/>
    <tableColumn id="17" xr3:uid="{D0C72911-7335-494A-8E77-E7E761EEE4EE}" name="SYS" dataDxfId="29"/>
    <tableColumn id="18" xr3:uid="{1D054814-EDB6-4EAC-B4CF-59767F8933B2}" name="중요도" dataDxfId="28"/>
    <tableColumn id="15" xr3:uid="{ED0EAFE9-3D8E-4774-8A2A-3266D56AB8D5}" name="테스트 항목" dataDxfId="27"/>
    <tableColumn id="19" xr3:uid="{11D7C3FD-50D9-42F1-B79C-8923ED7B181C}" name="수행 절차" dataDxfId="26"/>
    <tableColumn id="5" xr3:uid="{CAC022F6-D1BE-43FE-90BF-A2ECD4A233DA}" name="입력값" dataDxfId="25"/>
    <tableColumn id="6" xr3:uid="{890F6722-F461-4FAA-B10C-5E3EDEA7C642}" name="기대 결과" dataDxfId="24"/>
    <tableColumn id="7" xr3:uid="{5A782CA2-7575-41DA-899D-5871D12AAF5D}" name="수행일자" dataDxfId="23"/>
    <tableColumn id="8" xr3:uid="{83DE64F3-2143-41FE-BEAE-247FB5F70CF5}" name="수행자" dataDxfId="22"/>
    <tableColumn id="9" xr3:uid="{A893AC61-45EA-47C5-A660-DD00A4CA1292}" name="테스트결과" dataDxfId="21" dataCellStyle="표준 2"/>
    <tableColumn id="16" xr3:uid="{637FEA17-1DE2-4915-9503-623C7B661BE5}" name="결함사항" dataDxfId="20" dataCellStyle="표준 2"/>
    <tableColumn id="20" xr3:uid="{F87DDCFA-49F3-4A57-ABF7-5E80822F86DC}" name="수정여부" dataDxfId="19" dataCellStyle="표준 2"/>
    <tableColumn id="14" xr3:uid="{4D88198C-3A43-4F23-80F1-FC2FD6A68A70}" name="비고" dataDxfId="18" dataCellStyle="표준 2"/>
  </tableColumns>
  <tableStyleInfo name="표 스타일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F5CB8C-2AEA-4300-A972-4ADDFA9D5488}" name="표1_34910" displayName="표1_34910" ref="B11:Q50" totalsRowShown="0" headerRowDxfId="17" dataDxfId="16">
  <autoFilter ref="B11:Q50" xr:uid="{1A96BD34-1F0B-42BF-AF17-6960E6AF6C24}"/>
  <tableColumns count="16">
    <tableColumn id="1" xr3:uid="{13FA1651-1383-4B9C-9400-8F5BED0FD69C}" name="No." dataDxfId="15"/>
    <tableColumn id="2" xr3:uid="{0D38241A-CC61-4F67-9A3C-C02B8F70F3E6}" name="구분" dataDxfId="14"/>
    <tableColumn id="4" xr3:uid="{FE413997-A640-4A81-AEE6-758E87409E29}" name="ID" dataDxfId="13"/>
    <tableColumn id="3" xr3:uid="{0279A0B0-3B10-4AB0-ACA8-703BF1FE996F}" name="시나리오명" dataDxfId="12"/>
    <tableColumn id="17" xr3:uid="{491AC368-9926-477D-80EA-B4A7D5CE5B9D}" name="SYS" dataDxfId="11"/>
    <tableColumn id="18" xr3:uid="{009F8BCE-82E7-42DD-8B68-40F66821B0F3}" name="중요도" dataDxfId="10"/>
    <tableColumn id="15" xr3:uid="{71D53227-FF9A-48EE-9F5E-A2240DEC76C9}" name="테스트 항목" dataDxfId="9"/>
    <tableColumn id="19" xr3:uid="{5677E78B-D814-446F-B791-DA176551EFE4}" name="수행 절차" dataDxfId="8"/>
    <tableColumn id="5" xr3:uid="{13F04CFA-D417-4493-B5C6-322D18D580BC}" name="입력값" dataDxfId="7"/>
    <tableColumn id="6" xr3:uid="{08F9D754-487A-4E55-970A-01C77511FAED}" name="기대 결과" dataDxfId="6"/>
    <tableColumn id="7" xr3:uid="{79BB00C9-4AE3-4113-A5AC-425A93811714}" name="수행일자" dataDxfId="5"/>
    <tableColumn id="8" xr3:uid="{1375ADF3-BFF7-417E-AD72-5AF656055F0E}" name="수행자" dataDxfId="4"/>
    <tableColumn id="9" xr3:uid="{95400A67-C04D-408D-9B74-4BF642187B24}" name="테스트결과" dataDxfId="3" dataCellStyle="표준 2"/>
    <tableColumn id="16" xr3:uid="{F5FA25BC-D259-4D15-9A2E-E0053E4B56B3}" name="결함사항" dataDxfId="2" dataCellStyle="표준 2"/>
    <tableColumn id="20" xr3:uid="{46BC04B9-5A1C-4FDB-A92E-CEE78312A5D1}" name="수정여부" dataDxfId="1" dataCellStyle="표준 2"/>
    <tableColumn id="14" xr3:uid="{3D500406-7862-4497-8F88-9B6BD5950ECC}" name="비고" dataDxfId="0" dataCellStyle="표준 2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dT="2019-04-17T09:01:56.32" personId="{6F0F77DD-8400-4FBA-A3B0-482892D67D56}" id="{50B580BC-DD6B-4B0F-953B-55BB570DF576}">
    <text>기프트상품권 결제수단 추가 필요</text>
  </threadedComment>
  <threadedComment ref="AL4" dT="2019-04-17T09:00:43.90" personId="{6F0F77DD-8400-4FBA-A3B0-482892D67D56}" id="{6281175D-9A8C-413C-ACF5-AAA6B1403953}">
    <text>주문된 상품에 옵션변경이 가능한가요?
&gt;&gt; 불가능할 경우, 옵션변경 항목 삭제 필요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0"/>
  <sheetViews>
    <sheetView topLeftCell="A19" zoomScaleNormal="100" zoomScaleSheetLayoutView="86" workbookViewId="0">
      <selection activeCell="H27" sqref="H27:I27"/>
    </sheetView>
  </sheetViews>
  <sheetFormatPr defaultColWidth="8.8984375" defaultRowHeight="14.4"/>
  <cols>
    <col min="1" max="10" width="8.8984375" style="19"/>
    <col min="11" max="16384" width="8.8984375" style="17"/>
  </cols>
  <sheetData>
    <row r="1" spans="1:10" s="16" customFormat="1" ht="12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s="16" customFormat="1" ht="12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16" customFormat="1" ht="12" customHeight="1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s="16" customFormat="1" ht="12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s="16" customFormat="1" ht="12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s="16" customFormat="1" ht="12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13.65" customHeight="1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0" ht="13.65" customHeight="1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ht="13.65" customHeight="1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3.6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13.6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13.6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13.6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13.6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13.6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3.6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3.65" customHeight="1">
      <c r="A22" s="15"/>
      <c r="B22" s="15"/>
      <c r="C22" s="15"/>
      <c r="D22" s="15"/>
      <c r="E22" s="15"/>
      <c r="F22" s="18"/>
      <c r="G22" s="18"/>
      <c r="H22" s="15"/>
      <c r="I22" s="15"/>
      <c r="J22" s="15"/>
    </row>
    <row r="23" spans="1:10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7.25" customHeight="1">
      <c r="A25" s="15"/>
      <c r="B25" s="130" t="s">
        <v>9</v>
      </c>
      <c r="C25" s="131"/>
      <c r="D25" s="132" t="s">
        <v>8</v>
      </c>
      <c r="E25" s="133"/>
      <c r="F25" s="133"/>
      <c r="G25" s="133"/>
      <c r="H25" s="133"/>
      <c r="I25" s="134"/>
      <c r="J25" s="15"/>
    </row>
    <row r="26" spans="1:10" ht="17.25" customHeight="1">
      <c r="A26" s="15"/>
      <c r="B26" s="130" t="s">
        <v>10</v>
      </c>
      <c r="C26" s="131"/>
      <c r="D26" s="130" t="s">
        <v>165</v>
      </c>
      <c r="E26" s="131"/>
      <c r="F26" s="130" t="s">
        <v>11</v>
      </c>
      <c r="G26" s="131"/>
      <c r="H26" s="128">
        <v>43604</v>
      </c>
      <c r="I26" s="129"/>
      <c r="J26" s="15"/>
    </row>
    <row r="27" spans="1:10" ht="17.25" customHeight="1">
      <c r="A27" s="15"/>
      <c r="B27" s="130" t="s">
        <v>12</v>
      </c>
      <c r="C27" s="131"/>
      <c r="D27" s="130" t="s">
        <v>15</v>
      </c>
      <c r="E27" s="131"/>
      <c r="F27" s="130" t="s">
        <v>13</v>
      </c>
      <c r="G27" s="131"/>
      <c r="H27" s="128" t="s">
        <v>14</v>
      </c>
      <c r="I27" s="129"/>
      <c r="J27" s="15"/>
    </row>
    <row r="28" spans="1:10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</sheetData>
  <customSheetViews>
    <customSheetView guid="{6B4CEAB6-6476-40EF-9561-4F8D85AFD37C}" scale="86" showPageBreaks="1" view="pageBreakPreview" topLeftCell="A34">
      <selection activeCell="M34" sqref="M34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1"/>
      <headerFooter alignWithMargins="0"/>
    </customSheetView>
    <customSheetView guid="{9E41C106-8555-4D00-9C60-0A4D2648D9CB}" scale="86" showPageBreaks="1" view="pageBreakPreview" topLeftCell="A28">
      <selection activeCell="H63" sqref="H63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2"/>
      <headerFooter alignWithMargins="0"/>
    </customSheetView>
  </customSheetViews>
  <mergeCells count="10">
    <mergeCell ref="H26:I26"/>
    <mergeCell ref="D27:E27"/>
    <mergeCell ref="H27:I27"/>
    <mergeCell ref="D25:I25"/>
    <mergeCell ref="B25:C25"/>
    <mergeCell ref="B26:C26"/>
    <mergeCell ref="B27:C27"/>
    <mergeCell ref="F26:G26"/>
    <mergeCell ref="F27:G27"/>
    <mergeCell ref="D26:E26"/>
  </mergeCells>
  <phoneticPr fontId="3" type="noConversion"/>
  <printOptions horizontalCentered="1" verticalCentered="1"/>
  <pageMargins left="0.39370078740157483" right="0.39370078740157483" top="0.59055118110236227" bottom="0.78740157480314965" header="0.39370078740157483" footer="0.39370078740157483"/>
  <pageSetup paperSize="9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28"/>
  <sheetViews>
    <sheetView zoomScaleNormal="100" workbookViewId="0">
      <selection activeCell="C17" sqref="C17:F17"/>
    </sheetView>
  </sheetViews>
  <sheetFormatPr defaultRowHeight="14.4"/>
  <cols>
    <col min="1" max="7" width="12.69921875" customWidth="1"/>
  </cols>
  <sheetData>
    <row r="1" spans="1:18" ht="26.25" customHeight="1"/>
    <row r="2" spans="1:18" ht="13.65" customHeight="1"/>
    <row r="3" spans="1:18" ht="14.25" customHeight="1"/>
    <row r="6" spans="1:18" ht="20.25" customHeight="1">
      <c r="A6" s="135" t="s">
        <v>0</v>
      </c>
      <c r="B6" s="135"/>
      <c r="C6" s="135"/>
      <c r="D6" s="135"/>
      <c r="E6" s="135"/>
      <c r="F6" s="135"/>
      <c r="G6" s="135"/>
    </row>
    <row r="7" spans="1:18" ht="16.5" customHeight="1">
      <c r="A7" s="135"/>
      <c r="B7" s="135"/>
      <c r="C7" s="135"/>
      <c r="D7" s="135"/>
      <c r="E7" s="135"/>
      <c r="F7" s="135"/>
      <c r="G7" s="135"/>
    </row>
    <row r="8" spans="1:18" ht="15.6">
      <c r="A8" s="20" t="s">
        <v>4</v>
      </c>
      <c r="B8" s="21" t="s">
        <v>5</v>
      </c>
      <c r="C8" s="137" t="s">
        <v>6</v>
      </c>
      <c r="D8" s="137"/>
      <c r="E8" s="137"/>
      <c r="F8" s="137"/>
      <c r="G8" s="21" t="s">
        <v>7</v>
      </c>
    </row>
    <row r="9" spans="1:18" ht="15.6">
      <c r="A9" s="22">
        <v>0.1</v>
      </c>
      <c r="B9" s="24">
        <v>43604</v>
      </c>
      <c r="C9" s="136" t="s">
        <v>17</v>
      </c>
      <c r="D9" s="136"/>
      <c r="E9" s="136"/>
      <c r="F9" s="136"/>
      <c r="G9" s="25" t="s">
        <v>166</v>
      </c>
    </row>
    <row r="10" spans="1:18" ht="15.6">
      <c r="A10" s="22"/>
      <c r="B10" s="24"/>
      <c r="C10" s="136"/>
      <c r="D10" s="136"/>
      <c r="E10" s="136"/>
      <c r="F10" s="136"/>
      <c r="G10" s="25"/>
    </row>
    <row r="11" spans="1:18" ht="15.6">
      <c r="A11" s="22"/>
      <c r="B11" s="24"/>
      <c r="C11" s="136"/>
      <c r="D11" s="136"/>
      <c r="E11" s="136"/>
      <c r="F11" s="136"/>
      <c r="G11" s="25"/>
    </row>
    <row r="12" spans="1:18" ht="13.65" customHeight="1">
      <c r="A12" s="22"/>
      <c r="B12" s="7"/>
      <c r="C12" s="136"/>
      <c r="D12" s="136"/>
      <c r="E12" s="136"/>
      <c r="F12" s="136"/>
      <c r="G12" s="13"/>
    </row>
    <row r="13" spans="1:18" ht="14.25" customHeight="1">
      <c r="A13" s="22"/>
      <c r="B13" s="7"/>
      <c r="C13" s="136"/>
      <c r="D13" s="136"/>
      <c r="E13" s="136"/>
      <c r="F13" s="136"/>
      <c r="G13" s="13"/>
    </row>
    <row r="14" spans="1:18" ht="15.6">
      <c r="A14" s="22"/>
      <c r="B14" s="7"/>
      <c r="C14" s="136"/>
      <c r="D14" s="136"/>
      <c r="E14" s="136"/>
      <c r="F14" s="136"/>
      <c r="G14" s="13"/>
    </row>
    <row r="15" spans="1:18" ht="15.6">
      <c r="A15" s="22"/>
      <c r="B15" s="7"/>
      <c r="C15" s="136"/>
      <c r="D15" s="136"/>
      <c r="E15" s="136"/>
      <c r="F15" s="136"/>
      <c r="G15" s="13"/>
    </row>
    <row r="16" spans="1:18" ht="15.6">
      <c r="A16" s="22"/>
      <c r="B16" s="8"/>
      <c r="C16" s="136"/>
      <c r="D16" s="136"/>
      <c r="E16" s="136"/>
      <c r="F16" s="136"/>
      <c r="G16" s="13"/>
      <c r="R16" t="s">
        <v>18</v>
      </c>
    </row>
    <row r="17" spans="1:7" ht="15.6">
      <c r="A17" s="22"/>
      <c r="B17" s="8"/>
      <c r="C17" s="136"/>
      <c r="D17" s="136"/>
      <c r="E17" s="136"/>
      <c r="F17" s="136"/>
      <c r="G17" s="13"/>
    </row>
    <row r="18" spans="1:7" ht="15.6">
      <c r="A18" s="22"/>
      <c r="B18" s="8"/>
      <c r="C18" s="136"/>
      <c r="D18" s="136"/>
      <c r="E18" s="136"/>
      <c r="F18" s="136"/>
      <c r="G18" s="13"/>
    </row>
    <row r="19" spans="1:7" ht="15.6">
      <c r="A19" s="22"/>
      <c r="B19" s="8"/>
      <c r="C19" s="136"/>
      <c r="D19" s="136"/>
      <c r="E19" s="136"/>
      <c r="F19" s="136"/>
      <c r="G19" s="13"/>
    </row>
    <row r="20" spans="1:7" ht="15.6">
      <c r="A20" s="22"/>
      <c r="B20" s="8"/>
      <c r="C20" s="136"/>
      <c r="D20" s="136"/>
      <c r="E20" s="136"/>
      <c r="F20" s="136"/>
      <c r="G20" s="13"/>
    </row>
    <row r="21" spans="1:7" ht="15.6">
      <c r="A21" s="23"/>
      <c r="B21" s="11"/>
      <c r="C21" s="136"/>
      <c r="D21" s="136"/>
      <c r="E21" s="136"/>
      <c r="F21" s="136"/>
      <c r="G21" s="12"/>
    </row>
    <row r="22" spans="1:7" ht="15.6">
      <c r="A22" s="23"/>
      <c r="B22" s="11"/>
      <c r="C22" s="136"/>
      <c r="D22" s="136"/>
      <c r="E22" s="136"/>
      <c r="F22" s="136"/>
      <c r="G22" s="14"/>
    </row>
    <row r="23" spans="1:7" ht="15.6">
      <c r="A23" s="22"/>
      <c r="B23" s="8"/>
      <c r="C23" s="136"/>
      <c r="D23" s="136"/>
      <c r="E23" s="136"/>
      <c r="F23" s="136"/>
      <c r="G23" s="13"/>
    </row>
    <row r="24" spans="1:7" ht="15.6">
      <c r="A24" s="22"/>
      <c r="B24" s="8"/>
      <c r="C24" s="136"/>
      <c r="D24" s="136"/>
      <c r="E24" s="136"/>
      <c r="F24" s="136"/>
      <c r="G24" s="13"/>
    </row>
    <row r="25" spans="1:7" ht="15.6">
      <c r="A25" s="22"/>
      <c r="B25" s="8"/>
      <c r="C25" s="136"/>
      <c r="D25" s="136"/>
      <c r="E25" s="136"/>
      <c r="F25" s="136"/>
      <c r="G25" s="13"/>
    </row>
    <row r="26" spans="1:7" ht="15.6">
      <c r="A26" s="22"/>
      <c r="B26" s="8"/>
      <c r="C26" s="136"/>
      <c r="D26" s="136"/>
      <c r="E26" s="136"/>
      <c r="F26" s="136"/>
      <c r="G26" s="13"/>
    </row>
    <row r="27" spans="1:7" ht="15.6">
      <c r="A27" s="22"/>
      <c r="B27" s="8"/>
      <c r="C27" s="136"/>
      <c r="D27" s="136"/>
      <c r="E27" s="136"/>
      <c r="F27" s="136"/>
      <c r="G27" s="13"/>
    </row>
    <row r="28" spans="1:7" ht="15.6">
      <c r="A28" s="22"/>
      <c r="B28" s="8"/>
      <c r="C28" s="136"/>
      <c r="D28" s="136"/>
      <c r="E28" s="136"/>
      <c r="F28" s="136"/>
      <c r="G28" s="13"/>
    </row>
  </sheetData>
  <mergeCells count="22">
    <mergeCell ref="C26:F26"/>
    <mergeCell ref="C27:F27"/>
    <mergeCell ref="C28:F28"/>
    <mergeCell ref="C8:F8"/>
    <mergeCell ref="C9:F9"/>
    <mergeCell ref="C22:F22"/>
    <mergeCell ref="C23:F23"/>
    <mergeCell ref="C24:F24"/>
    <mergeCell ref="C19:F19"/>
    <mergeCell ref="C20:F20"/>
    <mergeCell ref="C17:F17"/>
    <mergeCell ref="C18:F18"/>
    <mergeCell ref="C25:F25"/>
    <mergeCell ref="A6:G7"/>
    <mergeCell ref="C10:F10"/>
    <mergeCell ref="C11:F11"/>
    <mergeCell ref="C12:F12"/>
    <mergeCell ref="C21:F21"/>
    <mergeCell ref="C14:F14"/>
    <mergeCell ref="C15:F15"/>
    <mergeCell ref="C16:F16"/>
    <mergeCell ref="C13:F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"/>
  <sheetViews>
    <sheetView workbookViewId="0">
      <selection activeCell="B34" sqref="B34"/>
    </sheetView>
  </sheetViews>
  <sheetFormatPr defaultRowHeight="14.4"/>
  <cols>
    <col min="1" max="1" width="18.19921875" customWidth="1"/>
    <col min="2" max="2" width="12.69921875" customWidth="1"/>
    <col min="3" max="4" width="18.19921875" customWidth="1"/>
    <col min="5" max="5" width="12.69921875" customWidth="1"/>
    <col min="6" max="7" width="18.19921875" customWidth="1"/>
  </cols>
  <sheetData>
    <row r="1" spans="1:7" s="1" customFormat="1" ht="27" customHeight="1">
      <c r="A1" s="138" t="s">
        <v>22</v>
      </c>
      <c r="B1" s="139"/>
      <c r="C1" s="139"/>
      <c r="D1" s="139"/>
      <c r="E1" s="139"/>
      <c r="F1" s="139"/>
      <c r="G1" s="140"/>
    </row>
    <row r="2" spans="1:7" s="1" customFormat="1" ht="16.5" customHeight="1">
      <c r="A2" s="141"/>
      <c r="B2" s="9" t="s">
        <v>1</v>
      </c>
      <c r="C2" s="143" t="s">
        <v>8</v>
      </c>
      <c r="D2" s="144"/>
      <c r="E2" s="9" t="s">
        <v>2</v>
      </c>
      <c r="F2" s="143" t="s">
        <v>20</v>
      </c>
      <c r="G2" s="145"/>
    </row>
    <row r="3" spans="1:7" s="1" customFormat="1" ht="18" thickBot="1">
      <c r="A3" s="142"/>
      <c r="B3" s="10" t="s">
        <v>3</v>
      </c>
      <c r="C3" s="146" t="s">
        <v>165</v>
      </c>
      <c r="D3" s="147"/>
      <c r="E3" s="10" t="s">
        <v>16</v>
      </c>
      <c r="F3" s="148">
        <v>43604</v>
      </c>
      <c r="G3" s="149"/>
    </row>
  </sheetData>
  <mergeCells count="6">
    <mergeCell ref="A1:G1"/>
    <mergeCell ref="A2:A3"/>
    <mergeCell ref="C2:D2"/>
    <mergeCell ref="F2:G2"/>
    <mergeCell ref="C3:D3"/>
    <mergeCell ref="F3:G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4BB-E22C-4EA3-9505-4AD62C66EF97}">
  <sheetPr codeName="Sheet4">
    <pageSetUpPr fitToPage="1"/>
  </sheetPr>
  <dimension ref="A1:N59"/>
  <sheetViews>
    <sheetView zoomScaleNormal="100" workbookViewId="0">
      <selection activeCell="H22" sqref="H22"/>
    </sheetView>
  </sheetViews>
  <sheetFormatPr defaultColWidth="8.8984375" defaultRowHeight="13.2" outlineLevelRow="1"/>
  <cols>
    <col min="1" max="1" width="2.69921875" style="41" customWidth="1"/>
    <col min="2" max="2" width="9.09765625" style="42" bestFit="1" customWidth="1"/>
    <col min="3" max="3" width="8.69921875" style="42" customWidth="1"/>
    <col min="4" max="13" width="8.69921875" style="41" customWidth="1"/>
    <col min="14" max="16384" width="8.8984375" style="41"/>
  </cols>
  <sheetData>
    <row r="1" spans="1:14" ht="66" customHeight="1">
      <c r="B1" s="39"/>
      <c r="C1" s="39"/>
      <c r="D1" s="40"/>
      <c r="E1" s="40"/>
    </row>
    <row r="2" spans="1:14">
      <c r="B2" s="81"/>
      <c r="C2" s="81"/>
      <c r="D2" s="40"/>
      <c r="E2" s="40"/>
    </row>
    <row r="3" spans="1:14" s="49" customFormat="1" ht="15.6" outlineLevel="1">
      <c r="A3" s="52"/>
      <c r="B3" s="150" t="s">
        <v>133</v>
      </c>
      <c r="C3" s="150"/>
      <c r="D3" s="91"/>
      <c r="E3" s="80"/>
    </row>
    <row r="4" spans="1:14" ht="10.050000000000001" customHeight="1" outlineLevel="1">
      <c r="B4" s="92"/>
      <c r="C4" s="92"/>
      <c r="D4" s="80"/>
      <c r="E4" s="80"/>
      <c r="F4" s="49"/>
      <c r="G4" s="49"/>
      <c r="H4" s="49"/>
      <c r="I4" s="49"/>
      <c r="J4" s="49"/>
      <c r="K4" s="49"/>
      <c r="L4" s="49"/>
      <c r="M4" s="49"/>
    </row>
    <row r="5" spans="1:14" s="43" customFormat="1" outlineLevel="1">
      <c r="A5" s="45"/>
      <c r="B5" s="70" t="s">
        <v>101</v>
      </c>
      <c r="C5" s="70" t="s">
        <v>96</v>
      </c>
      <c r="D5" s="70" t="s">
        <v>97</v>
      </c>
      <c r="E5" s="70" t="s">
        <v>98</v>
      </c>
      <c r="F5" s="70" t="s">
        <v>100</v>
      </c>
      <c r="G5" s="70" t="s">
        <v>99</v>
      </c>
      <c r="H5" s="70" t="s">
        <v>118</v>
      </c>
      <c r="I5" s="70" t="s">
        <v>119</v>
      </c>
      <c r="J5" s="70" t="s">
        <v>120</v>
      </c>
      <c r="K5" s="70" t="s">
        <v>121</v>
      </c>
      <c r="L5" s="70" t="s">
        <v>122</v>
      </c>
      <c r="M5" s="70" t="s">
        <v>123</v>
      </c>
      <c r="N5" s="47"/>
    </row>
    <row r="6" spans="1:14" s="43" customFormat="1" ht="15.6" outlineLevel="1">
      <c r="A6" s="45"/>
      <c r="B6" s="71" t="s">
        <v>126</v>
      </c>
      <c r="C6" s="72"/>
      <c r="D6" s="72"/>
      <c r="E6" s="72"/>
      <c r="F6" s="72"/>
      <c r="G6" s="73"/>
      <c r="H6" s="74">
        <f>SUM(표3_5[[#This Row],[Pass]:[N/A]])</f>
        <v>0</v>
      </c>
      <c r="I6" s="78">
        <f>IFERROR(표3_5[[#This Row],[Total]]/표3_5[[#This Row],[시나리오 수]],0)</f>
        <v>0</v>
      </c>
      <c r="J6" s="78">
        <f>IFERROR(SUM(표3_5[[#This Row],[Pass]:[Fail]])/표3_5[[#This Row],[시나리오 수]],0)</f>
        <v>0</v>
      </c>
      <c r="K6" s="78">
        <f>IFERROR(표3_5[[#This Row],[Pass]]/SUM(표3_5[[#This Row],[Pass]:[Fail]]),0)</f>
        <v>0</v>
      </c>
      <c r="L6" s="78">
        <f>IFERROR((표3_5[[#This Row],[Fail]]/SUM(표3_5[[#This Row],[Pass]:[Fail]])),0)</f>
        <v>0</v>
      </c>
      <c r="M6" s="78">
        <f>IFERROR((표3_5[[#This Row],[N/A]]/표3_5[[#This Row],[시나리오 수]]),0)</f>
        <v>0</v>
      </c>
      <c r="N6" s="47"/>
    </row>
    <row r="7" spans="1:14" s="43" customFormat="1" ht="15.6" outlineLevel="1">
      <c r="A7" s="45"/>
      <c r="B7" s="71" t="s">
        <v>124</v>
      </c>
      <c r="C7" s="72"/>
      <c r="D7" s="72"/>
      <c r="E7" s="72"/>
      <c r="F7" s="72"/>
      <c r="G7" s="73"/>
      <c r="H7" s="74">
        <f>SUM(표3_5[[#This Row],[Pass]:[N/A]])</f>
        <v>0</v>
      </c>
      <c r="I7" s="78">
        <f>IFERROR(표3_5[[#This Row],[Total]]/표3_5[[#This Row],[시나리오 수]],0)</f>
        <v>0</v>
      </c>
      <c r="J7" s="78">
        <f>IFERROR(SUM(표3_5[[#This Row],[Pass]:[Fail]])/표3_5[[#This Row],[시나리오 수]],0)</f>
        <v>0</v>
      </c>
      <c r="K7" s="78">
        <f>IFERROR(표3_5[[#This Row],[Pass]]/SUM(표3_5[[#This Row],[Pass]:[Fail]]),0)</f>
        <v>0</v>
      </c>
      <c r="L7" s="78">
        <f>IFERROR((표3_5[[#This Row],[Fail]]/SUM(표3_5[[#This Row],[Pass]:[Fail]])),0)</f>
        <v>0</v>
      </c>
      <c r="M7" s="78">
        <f>IFERROR((표3_5[[#This Row],[N/A]]/표3_5[[#This Row],[시나리오 수]]),0)</f>
        <v>0</v>
      </c>
      <c r="N7" s="47"/>
    </row>
    <row r="8" spans="1:14" s="43" customFormat="1" ht="15.6" outlineLevel="1">
      <c r="A8" s="45"/>
      <c r="B8" s="71" t="s">
        <v>125</v>
      </c>
      <c r="C8" s="72"/>
      <c r="D8" s="72"/>
      <c r="E8" s="72"/>
      <c r="F8" s="72"/>
      <c r="G8" s="73"/>
      <c r="H8" s="74">
        <f>SUM(표3_5[[#This Row],[Pass]:[N/A]])</f>
        <v>0</v>
      </c>
      <c r="I8" s="78">
        <f>IFERROR(표3_5[[#This Row],[Total]]/표3_5[[#This Row],[시나리오 수]],0)</f>
        <v>0</v>
      </c>
      <c r="J8" s="78">
        <f>IFERROR(SUM(표3_5[[#This Row],[Pass]:[Fail]])/표3_5[[#This Row],[시나리오 수]],0)</f>
        <v>0</v>
      </c>
      <c r="K8" s="78">
        <f>IFERROR(표3_5[[#This Row],[Pass]]/SUM(표3_5[[#This Row],[Pass]:[Fail]]),0)</f>
        <v>0</v>
      </c>
      <c r="L8" s="78">
        <f>IFERROR((표3_5[[#This Row],[Fail]]/SUM(표3_5[[#This Row],[Pass]:[Fail]])),0)</f>
        <v>0</v>
      </c>
      <c r="M8" s="78">
        <f>IFERROR((표3_5[[#This Row],[N/A]]/표3_5[[#This Row],[시나리오 수]]),0)</f>
        <v>0</v>
      </c>
      <c r="N8" s="47"/>
    </row>
    <row r="9" spans="1:14" s="43" customFormat="1" ht="15.6" outlineLevel="1">
      <c r="A9" s="45"/>
      <c r="B9" s="71" t="s">
        <v>126</v>
      </c>
      <c r="C9" s="72"/>
      <c r="D9" s="72"/>
      <c r="E9" s="72"/>
      <c r="F9" s="72"/>
      <c r="G9" s="75"/>
      <c r="H9" s="74">
        <f>SUM(표3_5[[#This Row],[Pass]:[N/A]])</f>
        <v>0</v>
      </c>
      <c r="I9" s="78">
        <f>IFERROR(표3_5[[#This Row],[Total]]/표3_5[[#This Row],[시나리오 수]],0)</f>
        <v>0</v>
      </c>
      <c r="J9" s="78">
        <f>IFERROR(SUM(표3_5[[#This Row],[Pass]:[Fail]])/표3_5[[#This Row],[시나리오 수]],0)</f>
        <v>0</v>
      </c>
      <c r="K9" s="78"/>
      <c r="L9" s="78">
        <f>IFERROR((표3_5[[#This Row],[Fail]]/SUM(표3_5[[#This Row],[Pass]:[Fail]])),0)</f>
        <v>0</v>
      </c>
      <c r="M9" s="78">
        <f>IFERROR((표3_5[[#This Row],[N/A]]/표3_5[[#This Row],[시나리오 수]]),0)</f>
        <v>0</v>
      </c>
      <c r="N9" s="47"/>
    </row>
    <row r="10" spans="1:14" s="43" customFormat="1" ht="15.6" outlineLevel="1">
      <c r="A10" s="45"/>
      <c r="B10" s="76" t="s">
        <v>127</v>
      </c>
      <c r="C10" s="76">
        <f t="shared" ref="C10:H10" si="0">SUM(C6:C9)</f>
        <v>0</v>
      </c>
      <c r="D10" s="76">
        <f t="shared" si="0"/>
        <v>0</v>
      </c>
      <c r="E10" s="76">
        <f t="shared" si="0"/>
        <v>0</v>
      </c>
      <c r="F10" s="76">
        <f t="shared" si="0"/>
        <v>0</v>
      </c>
      <c r="G10" s="76">
        <f t="shared" si="0"/>
        <v>0</v>
      </c>
      <c r="H10" s="76">
        <f t="shared" si="0"/>
        <v>0</v>
      </c>
      <c r="I10" s="90">
        <f>IFERROR(표3_5[[#This Row],[Total]]/표3_5[[#This Row],[시나리오 수]],0)</f>
        <v>0</v>
      </c>
      <c r="J10" s="90">
        <f>IFERROR(SUM(표3_5[[#This Row],[Pass]:[Fail]])/표3_5[[#This Row],[시나리오 수]],0)</f>
        <v>0</v>
      </c>
      <c r="K10" s="90">
        <f>IFERROR(표3_5[[#This Row],[Pass]]/SUM(표3_5[[#This Row],[Pass]:[Fail]]),0)</f>
        <v>0</v>
      </c>
      <c r="L10" s="90">
        <f>IFERROR((표3_5[[#This Row],[Fail]]/SUM(표3_5[[#This Row],[Pass]:[Fail]])),0)</f>
        <v>0</v>
      </c>
      <c r="M10" s="90">
        <f>IFERROR((표3_5[[#This Row],[N/A]]/표3_5[[#This Row],[시나리오 수]]),0)</f>
        <v>0</v>
      </c>
      <c r="N10" s="47"/>
    </row>
    <row r="11" spans="1:14" s="43" customFormat="1" ht="15.6" outlineLevel="1">
      <c r="B11" s="87"/>
      <c r="C11" s="88"/>
      <c r="D11" s="88"/>
      <c r="E11" s="88"/>
      <c r="F11" s="88"/>
      <c r="G11" s="88"/>
      <c r="H11" s="88"/>
      <c r="I11" s="89"/>
      <c r="J11" s="89"/>
      <c r="K11" s="89"/>
      <c r="L11" s="89"/>
      <c r="M11" s="89"/>
    </row>
    <row r="12" spans="1:14" s="43" customFormat="1" ht="15.6" outlineLevel="1">
      <c r="B12" s="150" t="s">
        <v>134</v>
      </c>
      <c r="C12" s="150"/>
      <c r="D12" s="91"/>
      <c r="E12" s="80"/>
      <c r="F12" s="49"/>
      <c r="G12" s="49"/>
      <c r="H12" s="49"/>
      <c r="I12" s="49"/>
      <c r="J12" s="49"/>
      <c r="K12" s="49"/>
      <c r="L12" s="49"/>
      <c r="M12" s="49"/>
    </row>
    <row r="13" spans="1:14" s="43" customFormat="1" outlineLevel="1">
      <c r="B13" s="92"/>
      <c r="C13" s="92"/>
      <c r="D13" s="80"/>
      <c r="E13" s="80"/>
      <c r="F13" s="49"/>
      <c r="G13" s="49"/>
      <c r="H13" s="49"/>
      <c r="I13" s="49"/>
      <c r="J13" s="49"/>
      <c r="K13" s="49"/>
      <c r="L13" s="49"/>
      <c r="M13" s="49"/>
    </row>
    <row r="14" spans="1:14" s="43" customFormat="1" outlineLevel="1">
      <c r="B14" s="70" t="s">
        <v>101</v>
      </c>
      <c r="C14" s="70" t="s">
        <v>96</v>
      </c>
      <c r="D14" s="70" t="s">
        <v>97</v>
      </c>
      <c r="E14" s="70" t="s">
        <v>98</v>
      </c>
      <c r="F14" s="70" t="s">
        <v>100</v>
      </c>
      <c r="G14" s="70" t="s">
        <v>99</v>
      </c>
      <c r="H14" s="70" t="s">
        <v>118</v>
      </c>
      <c r="I14" s="70" t="s">
        <v>119</v>
      </c>
      <c r="J14" s="70" t="s">
        <v>120</v>
      </c>
      <c r="K14" s="70" t="s">
        <v>121</v>
      </c>
      <c r="L14" s="70" t="s">
        <v>122</v>
      </c>
      <c r="M14" s="70" t="s">
        <v>123</v>
      </c>
    </row>
    <row r="15" spans="1:14" s="43" customFormat="1" ht="15.6" outlineLevel="1">
      <c r="B15" s="71" t="s">
        <v>126</v>
      </c>
      <c r="C15" s="72"/>
      <c r="D15" s="72"/>
      <c r="E15" s="72"/>
      <c r="F15" s="72"/>
      <c r="G15" s="73"/>
      <c r="H15" s="74">
        <f>SUM(표3_58[[#This Row],[Pass]:[N/A]])</f>
        <v>0</v>
      </c>
      <c r="I15" s="78">
        <f>IFERROR(표3_58[[#This Row],[Total]]/표3_58[[#This Row],[시나리오 수]],0)</f>
        <v>0</v>
      </c>
      <c r="J15" s="78">
        <f>IFERROR(SUM(표3_58[[#This Row],[Pass]:[Fail]])/표3_58[[#This Row],[시나리오 수]],0)</f>
        <v>0</v>
      </c>
      <c r="K15" s="78">
        <f>IFERROR(표3_58[[#This Row],[Pass]]/SUM(표3_58[[#This Row],[Pass]:[Fail]]),0)</f>
        <v>0</v>
      </c>
      <c r="L15" s="78">
        <f>IFERROR((표3_58[[#This Row],[Fail]]/SUM(표3_58[[#This Row],[Pass]:[Fail]])),0)</f>
        <v>0</v>
      </c>
      <c r="M15" s="78">
        <f>IFERROR((표3_58[[#This Row],[N/A]]/표3_58[[#This Row],[시나리오 수]]),0)</f>
        <v>0</v>
      </c>
    </row>
    <row r="16" spans="1:14" s="43" customFormat="1" ht="15.6" outlineLevel="1">
      <c r="B16" s="71" t="s">
        <v>124</v>
      </c>
      <c r="C16" s="72"/>
      <c r="D16" s="72"/>
      <c r="E16" s="72"/>
      <c r="F16" s="72"/>
      <c r="G16" s="73"/>
      <c r="H16" s="74">
        <f>SUM(표3_58[[#This Row],[Pass]:[N/A]])</f>
        <v>0</v>
      </c>
      <c r="I16" s="78">
        <f>IFERROR(표3_58[[#This Row],[Total]]/표3_58[[#This Row],[시나리오 수]],0)</f>
        <v>0</v>
      </c>
      <c r="J16" s="78">
        <f>IFERROR(SUM(표3_58[[#This Row],[Pass]:[Fail]])/표3_58[[#This Row],[시나리오 수]],0)</f>
        <v>0</v>
      </c>
      <c r="K16" s="78">
        <f>IFERROR(표3_58[[#This Row],[Pass]]/SUM(표3_58[[#This Row],[Pass]:[Fail]]),0)</f>
        <v>0</v>
      </c>
      <c r="L16" s="78">
        <f>IFERROR((표3_58[[#This Row],[Fail]]/SUM(표3_58[[#This Row],[Pass]:[Fail]])),0)</f>
        <v>0</v>
      </c>
      <c r="M16" s="78">
        <f>IFERROR((표3_58[[#This Row],[N/A]]/표3_58[[#This Row],[시나리오 수]]),0)</f>
        <v>0</v>
      </c>
    </row>
    <row r="17" spans="2:13" s="43" customFormat="1" ht="15.6" outlineLevel="1">
      <c r="B17" s="71" t="s">
        <v>125</v>
      </c>
      <c r="C17" s="72"/>
      <c r="D17" s="72"/>
      <c r="E17" s="72"/>
      <c r="F17" s="72"/>
      <c r="G17" s="73"/>
      <c r="H17" s="74">
        <f>SUM(표3_58[[#This Row],[Pass]:[N/A]])</f>
        <v>0</v>
      </c>
      <c r="I17" s="78">
        <f>IFERROR(표3_58[[#This Row],[Total]]/표3_58[[#This Row],[시나리오 수]],0)</f>
        <v>0</v>
      </c>
      <c r="J17" s="78">
        <f>IFERROR(SUM(표3_58[[#This Row],[Pass]:[Fail]])/표3_58[[#This Row],[시나리오 수]],0)</f>
        <v>0</v>
      </c>
      <c r="K17" s="78">
        <f>IFERROR(표3_58[[#This Row],[Pass]]/SUM(표3_58[[#This Row],[Pass]:[Fail]]),0)</f>
        <v>0</v>
      </c>
      <c r="L17" s="78">
        <f>IFERROR((표3_58[[#This Row],[Fail]]/SUM(표3_58[[#This Row],[Pass]:[Fail]])),0)</f>
        <v>0</v>
      </c>
      <c r="M17" s="78">
        <f>IFERROR((표3_58[[#This Row],[N/A]]/표3_58[[#This Row],[시나리오 수]]),0)</f>
        <v>0</v>
      </c>
    </row>
    <row r="18" spans="2:13" s="43" customFormat="1" ht="15.6" outlineLevel="1">
      <c r="B18" s="71" t="s">
        <v>126</v>
      </c>
      <c r="C18" s="72"/>
      <c r="D18" s="72"/>
      <c r="E18" s="72"/>
      <c r="F18" s="72"/>
      <c r="G18" s="75"/>
      <c r="H18" s="74">
        <f>SUM(표3_58[[#This Row],[Pass]:[N/A]])</f>
        <v>0</v>
      </c>
      <c r="I18" s="78">
        <f>IFERROR(표3_58[[#This Row],[Total]]/표3_58[[#This Row],[시나리오 수]],0)</f>
        <v>0</v>
      </c>
      <c r="J18" s="78">
        <f>IFERROR(SUM(표3_58[[#This Row],[Pass]:[Fail]])/표3_58[[#This Row],[시나리오 수]],0)</f>
        <v>0</v>
      </c>
      <c r="K18" s="78"/>
      <c r="L18" s="78">
        <f>IFERROR((표3_58[[#This Row],[Fail]]/SUM(표3_58[[#This Row],[Pass]:[Fail]])),0)</f>
        <v>0</v>
      </c>
      <c r="M18" s="78">
        <f>IFERROR((표3_58[[#This Row],[N/A]]/표3_58[[#This Row],[시나리오 수]]),0)</f>
        <v>0</v>
      </c>
    </row>
    <row r="19" spans="2:13" s="43" customFormat="1" ht="15.6" outlineLevel="1">
      <c r="B19" s="76" t="s">
        <v>127</v>
      </c>
      <c r="C19" s="76">
        <f t="shared" ref="C19:H19" si="1">SUM(C15:C18)</f>
        <v>0</v>
      </c>
      <c r="D19" s="76">
        <f t="shared" si="1"/>
        <v>0</v>
      </c>
      <c r="E19" s="76">
        <f t="shared" si="1"/>
        <v>0</v>
      </c>
      <c r="F19" s="76">
        <f t="shared" si="1"/>
        <v>0</v>
      </c>
      <c r="G19" s="76">
        <f t="shared" si="1"/>
        <v>0</v>
      </c>
      <c r="H19" s="76">
        <f t="shared" si="1"/>
        <v>0</v>
      </c>
      <c r="I19" s="90">
        <f>IFERROR(표3_58[[#This Row],[Total]]/표3_58[[#This Row],[시나리오 수]],0)</f>
        <v>0</v>
      </c>
      <c r="J19" s="90">
        <f>IFERROR(SUM(표3_58[[#This Row],[Pass]:[Fail]])/표3_58[[#This Row],[시나리오 수]],0)</f>
        <v>0</v>
      </c>
      <c r="K19" s="90">
        <f>IFERROR(표3_58[[#This Row],[Pass]]/SUM(표3_58[[#This Row],[Pass]:[Fail]]),0)</f>
        <v>0</v>
      </c>
      <c r="L19" s="90">
        <f>IFERROR((표3_58[[#This Row],[Fail]]/SUM(표3_58[[#This Row],[Pass]:[Fail]])),0)</f>
        <v>0</v>
      </c>
      <c r="M19" s="90">
        <f>IFERROR((표3_58[[#This Row],[N/A]]/표3_58[[#This Row],[시나리오 수]]),0)</f>
        <v>0</v>
      </c>
    </row>
    <row r="20" spans="2:13" s="43" customFormat="1" ht="15.6" outlineLevel="1">
      <c r="B20" s="84"/>
      <c r="C20" s="85"/>
      <c r="D20" s="85"/>
      <c r="E20" s="85"/>
      <c r="F20" s="85"/>
      <c r="G20" s="85"/>
      <c r="H20" s="85"/>
      <c r="I20" s="86"/>
      <c r="J20" s="86"/>
      <c r="K20" s="86"/>
      <c r="L20" s="86"/>
      <c r="M20" s="86"/>
    </row>
    <row r="21" spans="2:13" s="43" customFormat="1" ht="15.6" outlineLevel="1">
      <c r="B21" s="84"/>
      <c r="C21" s="85"/>
      <c r="D21" s="85"/>
      <c r="E21" s="85"/>
      <c r="F21" s="85"/>
      <c r="G21" s="85"/>
      <c r="H21" s="85"/>
      <c r="I21" s="86"/>
      <c r="J21" s="86"/>
      <c r="K21" s="86"/>
      <c r="L21" s="86"/>
      <c r="M21" s="86"/>
    </row>
    <row r="22" spans="2:13" s="43" customFormat="1" ht="15.6" outlineLevel="1">
      <c r="B22" s="84"/>
      <c r="C22" s="85"/>
      <c r="D22" s="85"/>
      <c r="E22" s="85"/>
      <c r="F22" s="85"/>
      <c r="G22" s="85"/>
      <c r="H22" s="85"/>
      <c r="I22" s="86"/>
      <c r="J22" s="86"/>
      <c r="K22" s="86"/>
      <c r="L22" s="86"/>
      <c r="M22" s="86"/>
    </row>
    <row r="23" spans="2:13" s="43" customFormat="1" ht="15.6" outlineLevel="1">
      <c r="B23" s="84"/>
      <c r="C23" s="85"/>
      <c r="D23" s="85"/>
      <c r="E23" s="85"/>
      <c r="F23" s="85"/>
      <c r="G23" s="85"/>
      <c r="H23" s="85"/>
      <c r="I23" s="86"/>
      <c r="J23" s="86"/>
      <c r="K23" s="86"/>
      <c r="L23" s="86"/>
      <c r="M23" s="86"/>
    </row>
    <row r="24" spans="2:13" s="43" customFormat="1" ht="15.6" outlineLevel="1">
      <c r="B24" s="84"/>
      <c r="C24" s="85"/>
      <c r="D24" s="85"/>
      <c r="E24" s="85"/>
      <c r="F24" s="85"/>
      <c r="G24" s="85"/>
      <c r="H24" s="85"/>
      <c r="I24" s="86"/>
      <c r="J24" s="86"/>
      <c r="K24" s="86"/>
      <c r="L24" s="86"/>
      <c r="M24" s="86"/>
    </row>
    <row r="25" spans="2:13" s="43" customFormat="1" ht="15.6" outlineLevel="1">
      <c r="B25" s="84"/>
      <c r="C25" s="85"/>
      <c r="D25" s="85"/>
      <c r="E25" s="85"/>
      <c r="F25" s="85"/>
      <c r="G25" s="85"/>
      <c r="H25" s="85"/>
      <c r="I25" s="86"/>
      <c r="J25" s="86"/>
      <c r="K25" s="86"/>
      <c r="L25" s="86"/>
      <c r="M25" s="86"/>
    </row>
    <row r="26" spans="2:13" s="43" customFormat="1" ht="15.6" outlineLevel="1">
      <c r="B26" s="84"/>
      <c r="C26" s="85"/>
      <c r="D26" s="85"/>
      <c r="E26" s="85"/>
      <c r="F26" s="85"/>
      <c r="G26" s="85"/>
      <c r="H26" s="85"/>
      <c r="I26" s="86"/>
      <c r="J26" s="86"/>
      <c r="K26" s="86"/>
      <c r="L26" s="86"/>
      <c r="M26" s="86"/>
    </row>
    <row r="27" spans="2:13" s="43" customFormat="1" ht="15.6" outlineLevel="1">
      <c r="B27" s="84"/>
      <c r="C27" s="85"/>
      <c r="D27" s="85"/>
      <c r="E27" s="85"/>
      <c r="F27" s="85"/>
      <c r="G27" s="85"/>
      <c r="H27" s="85"/>
      <c r="I27" s="86"/>
      <c r="J27" s="86"/>
      <c r="K27" s="86"/>
      <c r="L27" s="86"/>
      <c r="M27" s="86"/>
    </row>
    <row r="28" spans="2:13" s="43" customFormat="1" ht="15.6" outlineLevel="1">
      <c r="B28" s="84"/>
      <c r="C28" s="85"/>
      <c r="D28" s="85"/>
      <c r="E28" s="85"/>
      <c r="F28" s="85"/>
      <c r="G28" s="85"/>
      <c r="H28" s="85"/>
      <c r="I28" s="86"/>
      <c r="J28" s="86"/>
      <c r="K28" s="86"/>
      <c r="L28" s="86"/>
      <c r="M28" s="86"/>
    </row>
    <row r="29" spans="2:13" s="43" customFormat="1" ht="15.6" outlineLevel="1">
      <c r="B29" s="84"/>
      <c r="C29" s="85"/>
      <c r="D29" s="85"/>
      <c r="E29" s="85"/>
      <c r="F29" s="85"/>
      <c r="G29" s="85"/>
      <c r="H29" s="85"/>
      <c r="I29" s="86"/>
      <c r="J29" s="86"/>
      <c r="K29" s="86"/>
      <c r="L29" s="86"/>
      <c r="M29" s="86"/>
    </row>
    <row r="30" spans="2:13" s="43" customFormat="1" ht="15.6" outlineLevel="1">
      <c r="B30" s="84"/>
      <c r="C30" s="85"/>
      <c r="D30" s="85"/>
      <c r="E30" s="85"/>
      <c r="F30" s="85"/>
      <c r="G30" s="85"/>
      <c r="H30" s="85"/>
      <c r="I30" s="86"/>
      <c r="J30" s="86"/>
      <c r="K30" s="86"/>
      <c r="L30" s="86"/>
      <c r="M30" s="86"/>
    </row>
    <row r="31" spans="2:13" s="43" customFormat="1" ht="15.6" outlineLevel="1">
      <c r="B31" s="84"/>
      <c r="C31" s="85"/>
      <c r="D31" s="85"/>
      <c r="E31" s="85"/>
      <c r="F31" s="85"/>
      <c r="G31" s="85"/>
      <c r="H31" s="85"/>
      <c r="I31" s="86"/>
      <c r="J31" s="86"/>
      <c r="K31" s="86"/>
      <c r="L31" s="86"/>
      <c r="M31" s="86"/>
    </row>
    <row r="32" spans="2:13" s="43" customFormat="1" ht="15.6" outlineLevel="1">
      <c r="B32" s="84"/>
      <c r="C32" s="85"/>
      <c r="D32" s="85"/>
      <c r="E32" s="85"/>
      <c r="F32" s="85"/>
      <c r="G32" s="85"/>
      <c r="H32" s="85"/>
      <c r="I32" s="86"/>
      <c r="J32" s="86"/>
      <c r="K32" s="86"/>
      <c r="L32" s="86"/>
      <c r="M32" s="86"/>
    </row>
    <row r="33" spans="1:14" s="43" customFormat="1" ht="15.6" outlineLevel="1">
      <c r="B33" s="84"/>
      <c r="C33" s="85"/>
      <c r="D33" s="85"/>
      <c r="E33" s="85"/>
      <c r="F33" s="85"/>
      <c r="G33" s="85"/>
      <c r="H33" s="85"/>
      <c r="I33" s="86"/>
      <c r="J33" s="86"/>
      <c r="K33" s="86"/>
      <c r="L33" s="86"/>
      <c r="M33" s="86"/>
    </row>
    <row r="34" spans="1:14" s="43" customFormat="1" ht="15.6" outlineLevel="1">
      <c r="B34" s="84"/>
      <c r="C34" s="85"/>
      <c r="D34" s="85"/>
      <c r="E34" s="85"/>
      <c r="F34" s="85"/>
      <c r="G34" s="85"/>
      <c r="H34" s="85"/>
      <c r="I34" s="86"/>
      <c r="J34" s="86"/>
      <c r="K34" s="86"/>
      <c r="L34" s="86"/>
      <c r="M34" s="86"/>
    </row>
    <row r="35" spans="1:14" s="43" customFormat="1" ht="15.6" outlineLevel="1">
      <c r="B35" s="84"/>
      <c r="C35" s="85"/>
      <c r="D35" s="85"/>
      <c r="E35" s="85"/>
      <c r="F35" s="85"/>
      <c r="G35" s="85"/>
      <c r="H35" s="85"/>
      <c r="I35" s="86"/>
      <c r="J35" s="86"/>
      <c r="K35" s="86"/>
      <c r="L35" s="86"/>
      <c r="M35" s="86"/>
    </row>
    <row r="36" spans="1:14" s="43" customFormat="1" ht="15.6" outlineLevel="1">
      <c r="B36" s="84"/>
      <c r="C36" s="85"/>
      <c r="D36" s="85"/>
      <c r="E36" s="85"/>
      <c r="F36" s="85"/>
      <c r="G36" s="85"/>
      <c r="H36" s="85"/>
      <c r="I36" s="86"/>
      <c r="J36" s="86"/>
      <c r="K36" s="86"/>
      <c r="L36" s="86"/>
      <c r="M36" s="86"/>
    </row>
    <row r="37" spans="1:14" s="43" customFormat="1" ht="15.6" outlineLevel="1">
      <c r="B37" s="84"/>
      <c r="C37" s="85"/>
      <c r="D37" s="85"/>
      <c r="E37" s="85"/>
      <c r="F37" s="85"/>
      <c r="G37" s="85"/>
      <c r="H37" s="85"/>
      <c r="I37" s="86"/>
      <c r="J37" s="86"/>
      <c r="K37" s="86"/>
      <c r="L37" s="86"/>
      <c r="M37" s="86"/>
    </row>
    <row r="38" spans="1:14" s="43" customFormat="1" ht="15.6" outlineLevel="1">
      <c r="B38" s="84"/>
      <c r="C38" s="85"/>
      <c r="D38" s="85"/>
      <c r="E38" s="85"/>
      <c r="F38" s="85"/>
      <c r="G38" s="85"/>
      <c r="H38" s="85"/>
      <c r="I38" s="86"/>
      <c r="J38" s="86"/>
      <c r="K38" s="86"/>
      <c r="L38" s="86"/>
      <c r="M38" s="86"/>
    </row>
    <row r="39" spans="1:14" s="43" customFormat="1" outlineLevel="1">
      <c r="B39" s="53"/>
      <c r="C39" s="53"/>
    </row>
    <row r="40" spans="1:14" s="43" customFormat="1" outlineLevel="1">
      <c r="B40" s="53"/>
      <c r="C40" s="53"/>
    </row>
    <row r="41" spans="1:14" s="51" customFormat="1" outlineLevel="1">
      <c r="B41" s="50"/>
      <c r="C41" s="50"/>
    </row>
    <row r="42" spans="1:14" outlineLevel="1"/>
    <row r="43" spans="1:14">
      <c r="B43" s="151" t="s">
        <v>131</v>
      </c>
      <c r="C43" s="151"/>
      <c r="D43" s="40"/>
      <c r="E43" s="40"/>
    </row>
    <row r="44" spans="1:14">
      <c r="B44" s="48"/>
      <c r="C44" s="48"/>
      <c r="D44" s="80"/>
      <c r="E44" s="80"/>
      <c r="F44" s="49"/>
      <c r="G44" s="49"/>
      <c r="H44" s="49"/>
      <c r="I44" s="49"/>
      <c r="J44" s="49"/>
      <c r="K44" s="49"/>
      <c r="L44" s="49"/>
      <c r="M44" s="49"/>
    </row>
    <row r="45" spans="1:14">
      <c r="A45" s="44"/>
      <c r="B45" s="70" t="s">
        <v>132</v>
      </c>
      <c r="C45" s="70" t="s">
        <v>96</v>
      </c>
      <c r="D45" s="70" t="s">
        <v>97</v>
      </c>
      <c r="E45" s="70" t="s">
        <v>98</v>
      </c>
      <c r="F45" s="70" t="s">
        <v>100</v>
      </c>
      <c r="G45" s="70" t="s">
        <v>99</v>
      </c>
      <c r="H45" s="70" t="s">
        <v>118</v>
      </c>
      <c r="I45" s="70" t="s">
        <v>119</v>
      </c>
      <c r="J45" s="70" t="s">
        <v>120</v>
      </c>
      <c r="K45" s="70" t="s">
        <v>121</v>
      </c>
      <c r="L45" s="70" t="s">
        <v>122</v>
      </c>
      <c r="M45" s="70" t="s">
        <v>123</v>
      </c>
      <c r="N45" s="46"/>
    </row>
    <row r="46" spans="1:14" ht="15.6">
      <c r="A46" s="44"/>
      <c r="B46" s="71" t="s">
        <v>128</v>
      </c>
      <c r="C46" s="72"/>
      <c r="D46" s="72"/>
      <c r="E46" s="72"/>
      <c r="F46" s="72"/>
      <c r="G46" s="73"/>
      <c r="H46" s="74">
        <f>SUM(표3_6[[#This Row],[Pass]:[N/A]])</f>
        <v>0</v>
      </c>
      <c r="I46" s="78">
        <f>IFERROR(표3_6[[#This Row],[Total]]/표3_6[[#This Row],[시나리오 수]],0)</f>
        <v>0</v>
      </c>
      <c r="J46" s="78">
        <f>IFERROR(SUM(표3_6[[#This Row],[Pass]:[Fail]])/표3_6[[#This Row],[시나리오 수]],0)</f>
        <v>0</v>
      </c>
      <c r="K46" s="78">
        <f>IFERROR(표3_6[[#This Row],[Pass]]/SUM(표3_6[[#This Row],[Pass]:[Fail]]),0)</f>
        <v>0</v>
      </c>
      <c r="L46" s="78">
        <f>IFERROR((표3_6[[#This Row],[Fail]]/SUM(표3_6[[#This Row],[Pass]:[Fail]])),0)</f>
        <v>0</v>
      </c>
      <c r="M46" s="78">
        <f>IFERROR((표3_6[[#This Row],[N/A]]/표3_6[[#This Row],[시나리오 수]]),0)</f>
        <v>0</v>
      </c>
      <c r="N46" s="46"/>
    </row>
    <row r="47" spans="1:14" ht="31.2">
      <c r="A47" s="44"/>
      <c r="B47" s="71" t="s">
        <v>129</v>
      </c>
      <c r="C47" s="72"/>
      <c r="D47" s="72"/>
      <c r="E47" s="72"/>
      <c r="F47" s="72"/>
      <c r="G47" s="73"/>
      <c r="H47" s="74">
        <f>SUM(표3_6[[#This Row],[Pass]:[N/A]])</f>
        <v>0</v>
      </c>
      <c r="I47" s="78">
        <f>IFERROR(표3_6[[#This Row],[Total]]/표3_6[[#This Row],[시나리오 수]],0)</f>
        <v>0</v>
      </c>
      <c r="J47" s="78">
        <f>IFERROR(SUM(표3_6[[#This Row],[Pass]:[Fail]])/표3_6[[#This Row],[시나리오 수]],0)</f>
        <v>0</v>
      </c>
      <c r="K47" s="78">
        <f>IFERROR(표3_6[[#This Row],[Pass]]/SUM(표3_6[[#This Row],[Pass]:[Fail]]),0)</f>
        <v>0</v>
      </c>
      <c r="L47" s="78">
        <f>IFERROR((표3_6[[#This Row],[Fail]]/SUM(표3_6[[#This Row],[Pass]:[Fail]])),0)</f>
        <v>0</v>
      </c>
      <c r="M47" s="78">
        <f>IFERROR((표3_6[[#This Row],[N/A]]/표3_6[[#This Row],[시나리오 수]]),0)</f>
        <v>0</v>
      </c>
      <c r="N47" s="46"/>
    </row>
    <row r="48" spans="1:14" ht="15.6">
      <c r="A48" s="44"/>
      <c r="B48" s="71" t="s">
        <v>130</v>
      </c>
      <c r="C48" s="72"/>
      <c r="D48" s="72"/>
      <c r="E48" s="72"/>
      <c r="F48" s="72"/>
      <c r="G48" s="73"/>
      <c r="H48" s="74">
        <f>SUM(표3_6[[#This Row],[Pass]:[N/A]])</f>
        <v>0</v>
      </c>
      <c r="I48" s="78">
        <f>IFERROR(표3_6[[#This Row],[Total]]/표3_6[[#This Row],[시나리오 수]],0)</f>
        <v>0</v>
      </c>
      <c r="J48" s="78">
        <f>IFERROR(SUM(표3_6[[#This Row],[Pass]:[Fail]])/표3_6[[#This Row],[시나리오 수]],0)</f>
        <v>0</v>
      </c>
      <c r="K48" s="78">
        <f>IFERROR(표3_6[[#This Row],[Pass]]/SUM(표3_6[[#This Row],[Pass]:[Fail]]),0)</f>
        <v>0</v>
      </c>
      <c r="L48" s="78">
        <f>IFERROR((표3_6[[#This Row],[Fail]]/SUM(표3_6[[#This Row],[Pass]:[Fail]])),0)</f>
        <v>0</v>
      </c>
      <c r="M48" s="78">
        <f>IFERROR((표3_6[[#This Row],[N/A]]/표3_6[[#This Row],[시나리오 수]]),0)</f>
        <v>0</v>
      </c>
      <c r="N48" s="46"/>
    </row>
    <row r="49" spans="1:14" ht="15.6">
      <c r="A49" s="44"/>
      <c r="B49" s="71"/>
      <c r="C49" s="72"/>
      <c r="D49" s="72"/>
      <c r="E49" s="72"/>
      <c r="F49" s="72"/>
      <c r="G49" s="75"/>
      <c r="H49" s="74"/>
      <c r="I49" s="78">
        <f>IFERROR(표3_6[[#This Row],[Total]]/표3_6[[#This Row],[시나리오 수]],0)</f>
        <v>0</v>
      </c>
      <c r="J49" s="78">
        <f>IFERROR(SUM(표3_6[[#This Row],[Pass]:[Fail]])/표3_6[[#This Row],[시나리오 수]],0)</f>
        <v>0</v>
      </c>
      <c r="K49" s="78"/>
      <c r="L49" s="78">
        <f>IFERROR((표3_6[[#This Row],[Fail]]/SUM(표3_6[[#This Row],[Pass]:[Fail]])),0)</f>
        <v>0</v>
      </c>
      <c r="M49" s="78">
        <f>IFERROR((표3_6[[#This Row],[N/A]]/표3_6[[#This Row],[시나리오 수]]),0)</f>
        <v>0</v>
      </c>
      <c r="N49" s="46"/>
    </row>
    <row r="50" spans="1:14" ht="15.6">
      <c r="A50" s="44"/>
      <c r="B50" s="71"/>
      <c r="C50" s="72"/>
      <c r="D50" s="72"/>
      <c r="E50" s="72"/>
      <c r="F50" s="72"/>
      <c r="G50" s="73"/>
      <c r="H50" s="74">
        <f>SUM(표3_6[[#This Row],[Pass]:[N/A]])</f>
        <v>0</v>
      </c>
      <c r="I50" s="78">
        <f>IFERROR(표3_6[[#This Row],[Total]]/표3_6[[#This Row],[시나리오 수]],0)</f>
        <v>0</v>
      </c>
      <c r="J50" s="78">
        <f>IFERROR(SUM(표3_6[[#This Row],[Pass]:[Fail]])/표3_6[[#This Row],[시나리오 수]],0)</f>
        <v>0</v>
      </c>
      <c r="K50" s="78">
        <f>IFERROR(표3_6[[#This Row],[Pass]]/SUM(표3_6[[#This Row],[Pass]:[Fail]]),0)</f>
        <v>0</v>
      </c>
      <c r="L50" s="78">
        <f>IFERROR((표3_6[[#This Row],[Fail]]/SUM(표3_6[[#This Row],[Pass]:[Fail]])),0)</f>
        <v>0</v>
      </c>
      <c r="M50" s="78">
        <f>IFERROR((표3_6[[#This Row],[N/A]]/표3_6[[#This Row],[시나리오 수]]),0)</f>
        <v>0</v>
      </c>
      <c r="N50" s="46"/>
    </row>
    <row r="51" spans="1:14" ht="15.6">
      <c r="A51" s="44"/>
      <c r="B51" s="76" t="s">
        <v>127</v>
      </c>
      <c r="C51" s="77">
        <f t="shared" ref="C51:H51" si="2">SUM(C46:C50)</f>
        <v>0</v>
      </c>
      <c r="D51" s="77">
        <f t="shared" si="2"/>
        <v>0</v>
      </c>
      <c r="E51" s="77">
        <f t="shared" si="2"/>
        <v>0</v>
      </c>
      <c r="F51" s="77">
        <f t="shared" si="2"/>
        <v>0</v>
      </c>
      <c r="G51" s="77">
        <f t="shared" si="2"/>
        <v>0</v>
      </c>
      <c r="H51" s="77">
        <f t="shared" si="2"/>
        <v>0</v>
      </c>
      <c r="I51" s="79">
        <f>IFERROR(표3_6[[#This Row],[Total]]/표3_6[[#This Row],[시나리오 수]],0)</f>
        <v>0</v>
      </c>
      <c r="J51" s="79">
        <f>IFERROR(SUM(표3_6[[#This Row],[Pass]:[Fail]])/표3_6[[#This Row],[시나리오 수]],0)</f>
        <v>0</v>
      </c>
      <c r="K51" s="79">
        <f>IFERROR(표3_6[[#This Row],[Pass]]/SUM(표3_6[[#This Row],[Pass]:[Fail]]),0)</f>
        <v>0</v>
      </c>
      <c r="L51" s="79">
        <f>IFERROR((표3_6[[#This Row],[Fail]]/SUM(표3_6[[#This Row],[Pass]:[Fail]])),0)</f>
        <v>0</v>
      </c>
      <c r="M51" s="79">
        <f>IFERROR((표3_6[[#This Row],[N/A]]/표3_6[[#This Row],[시나리오 수]]),0)</f>
        <v>0</v>
      </c>
      <c r="N51" s="46"/>
    </row>
    <row r="52" spans="1:14"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</row>
    <row r="53" spans="1:14">
      <c r="A53" s="44"/>
      <c r="B53" s="70" t="s">
        <v>101</v>
      </c>
      <c r="C53" s="70" t="s">
        <v>96</v>
      </c>
      <c r="D53" s="70" t="s">
        <v>97</v>
      </c>
      <c r="E53" s="70" t="s">
        <v>98</v>
      </c>
      <c r="F53" s="70" t="s">
        <v>100</v>
      </c>
      <c r="G53" s="70" t="s">
        <v>99</v>
      </c>
      <c r="H53" s="70" t="s">
        <v>118</v>
      </c>
      <c r="I53" s="70" t="s">
        <v>119</v>
      </c>
      <c r="J53" s="70" t="s">
        <v>120</v>
      </c>
      <c r="K53" s="70" t="s">
        <v>121</v>
      </c>
      <c r="L53" s="70" t="s">
        <v>122</v>
      </c>
      <c r="M53" s="70" t="s">
        <v>123</v>
      </c>
      <c r="N53" s="46"/>
    </row>
    <row r="54" spans="1:14" ht="15.6">
      <c r="A54" s="44"/>
      <c r="B54" s="71" t="s">
        <v>126</v>
      </c>
      <c r="C54" s="72"/>
      <c r="D54" s="72"/>
      <c r="E54" s="72"/>
      <c r="F54" s="72"/>
      <c r="G54" s="73"/>
      <c r="H54" s="74">
        <f>SUM(표3_57[[#This Row],[Pass]:[N/A]])</f>
        <v>0</v>
      </c>
      <c r="I54" s="78">
        <f>IFERROR(표3_57[[#This Row],[Total]]/표3_57[[#This Row],[시나리오 수]],0)</f>
        <v>0</v>
      </c>
      <c r="J54" s="78">
        <f>IFERROR(SUM(표3_57[[#This Row],[Pass]:[Fail]])/표3_57[[#This Row],[시나리오 수]],0)</f>
        <v>0</v>
      </c>
      <c r="K54" s="78">
        <f>IFERROR(표3_57[[#This Row],[Pass]]/SUM(표3_57[[#This Row],[Pass]:[Fail]]),0)</f>
        <v>0</v>
      </c>
      <c r="L54" s="78">
        <f>IFERROR((표3_57[[#This Row],[Fail]]/SUM(표3_57[[#This Row],[Pass]:[Fail]])),0)</f>
        <v>0</v>
      </c>
      <c r="M54" s="78">
        <f>IFERROR((표3_57[[#This Row],[N/A]]/표3_57[[#This Row],[시나리오 수]]),0)</f>
        <v>0</v>
      </c>
      <c r="N54" s="46"/>
    </row>
    <row r="55" spans="1:14" ht="15.6">
      <c r="A55" s="44"/>
      <c r="B55" s="71" t="s">
        <v>124</v>
      </c>
      <c r="C55" s="72"/>
      <c r="D55" s="72"/>
      <c r="E55" s="72"/>
      <c r="F55" s="72"/>
      <c r="G55" s="73"/>
      <c r="H55" s="74">
        <f>SUM(표3_57[[#This Row],[Pass]:[N/A]])</f>
        <v>0</v>
      </c>
      <c r="I55" s="78">
        <f>IFERROR(표3_57[[#This Row],[Total]]/표3_57[[#This Row],[시나리오 수]],0)</f>
        <v>0</v>
      </c>
      <c r="J55" s="78">
        <f>IFERROR(SUM(표3_57[[#This Row],[Pass]:[Fail]])/표3_57[[#This Row],[시나리오 수]],0)</f>
        <v>0</v>
      </c>
      <c r="K55" s="78">
        <f>IFERROR(표3_57[[#This Row],[Pass]]/SUM(표3_57[[#This Row],[Pass]:[Fail]]),0)</f>
        <v>0</v>
      </c>
      <c r="L55" s="78">
        <f>IFERROR((표3_57[[#This Row],[Fail]]/SUM(표3_57[[#This Row],[Pass]:[Fail]])),0)</f>
        <v>0</v>
      </c>
      <c r="M55" s="78">
        <f>IFERROR((표3_57[[#This Row],[N/A]]/표3_57[[#This Row],[시나리오 수]]),0)</f>
        <v>0</v>
      </c>
      <c r="N55" s="46"/>
    </row>
    <row r="56" spans="1:14" ht="15.6">
      <c r="A56" s="44"/>
      <c r="B56" s="71" t="s">
        <v>125</v>
      </c>
      <c r="C56" s="72"/>
      <c r="D56" s="72"/>
      <c r="E56" s="72"/>
      <c r="F56" s="72"/>
      <c r="G56" s="73"/>
      <c r="H56" s="74">
        <f>SUM(표3_57[[#This Row],[Pass]:[N/A]])</f>
        <v>0</v>
      </c>
      <c r="I56" s="78">
        <f>IFERROR(표3_57[[#This Row],[Total]]/표3_57[[#This Row],[시나리오 수]],0)</f>
        <v>0</v>
      </c>
      <c r="J56" s="78">
        <f>IFERROR(SUM(표3_57[[#This Row],[Pass]:[Fail]])/표3_57[[#This Row],[시나리오 수]],0)</f>
        <v>0</v>
      </c>
      <c r="K56" s="78">
        <f>IFERROR(표3_57[[#This Row],[Pass]]/SUM(표3_57[[#This Row],[Pass]:[Fail]]),0)</f>
        <v>0</v>
      </c>
      <c r="L56" s="78">
        <f>IFERROR((표3_57[[#This Row],[Fail]]/SUM(표3_57[[#This Row],[Pass]:[Fail]])),0)</f>
        <v>0</v>
      </c>
      <c r="M56" s="78">
        <f>IFERROR((표3_57[[#This Row],[N/A]]/표3_57[[#This Row],[시나리오 수]]),0)</f>
        <v>0</v>
      </c>
      <c r="N56" s="46"/>
    </row>
    <row r="57" spans="1:14" ht="15.6">
      <c r="A57" s="44"/>
      <c r="B57" s="71" t="s">
        <v>126</v>
      </c>
      <c r="C57" s="72"/>
      <c r="D57" s="72"/>
      <c r="E57" s="72"/>
      <c r="F57" s="72"/>
      <c r="G57" s="75"/>
      <c r="H57" s="74"/>
      <c r="I57" s="78">
        <f>IFERROR(표3_57[[#This Row],[Total]]/표3_57[[#This Row],[시나리오 수]],0)</f>
        <v>0</v>
      </c>
      <c r="J57" s="78">
        <f>IFERROR(SUM(표3_57[[#This Row],[Pass]:[Fail]])/표3_57[[#This Row],[시나리오 수]],0)</f>
        <v>0</v>
      </c>
      <c r="K57" s="78"/>
      <c r="L57" s="78">
        <f>IFERROR((표3_57[[#This Row],[Fail]]/SUM(표3_57[[#This Row],[Pass]:[Fail]])),0)</f>
        <v>0</v>
      </c>
      <c r="M57" s="78">
        <f>IFERROR((표3_57[[#This Row],[N/A]]/표3_57[[#This Row],[시나리오 수]]),0)</f>
        <v>0</v>
      </c>
      <c r="N57" s="46"/>
    </row>
    <row r="58" spans="1:14" ht="15.6">
      <c r="A58" s="44"/>
      <c r="B58" s="76" t="s">
        <v>127</v>
      </c>
      <c r="C58" s="77">
        <f t="shared" ref="C58:H58" si="3">SUM(C54:C57)</f>
        <v>0</v>
      </c>
      <c r="D58" s="77">
        <f t="shared" si="3"/>
        <v>0</v>
      </c>
      <c r="E58" s="77">
        <f t="shared" si="3"/>
        <v>0</v>
      </c>
      <c r="F58" s="77">
        <f t="shared" si="3"/>
        <v>0</v>
      </c>
      <c r="G58" s="77">
        <f t="shared" si="3"/>
        <v>0</v>
      </c>
      <c r="H58" s="77">
        <f t="shared" si="3"/>
        <v>0</v>
      </c>
      <c r="I58" s="79">
        <f>IFERROR(표3_57[[#This Row],[Total]]/표3_57[[#This Row],[시나리오 수]],0)</f>
        <v>0</v>
      </c>
      <c r="J58" s="79">
        <f>IFERROR(SUM(표3_57[[#This Row],[Pass]:[Fail]])/표3_57[[#This Row],[시나리오 수]],0)</f>
        <v>0</v>
      </c>
      <c r="K58" s="79">
        <f>IFERROR(표3_57[[#This Row],[Pass]]/SUM(표3_57[[#This Row],[Pass]:[Fail]]),0)</f>
        <v>0</v>
      </c>
      <c r="L58" s="79">
        <f>IFERROR((표3_57[[#This Row],[Fail]]/SUM(표3_57[[#This Row],[Pass]:[Fail]])),0)</f>
        <v>0</v>
      </c>
      <c r="M58" s="79">
        <f>IFERROR((표3_57[[#This Row],[N/A]]/표3_57[[#This Row],[시나리오 수]]),0)</f>
        <v>0</v>
      </c>
      <c r="N58" s="46"/>
    </row>
    <row r="59" spans="1:14">
      <c r="B59" s="50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</row>
  </sheetData>
  <mergeCells count="3">
    <mergeCell ref="B3:C3"/>
    <mergeCell ref="B43:C43"/>
    <mergeCell ref="B12:C1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AC74-C980-412B-9643-BBDC1E77B53C}">
  <dimension ref="B1:F18"/>
  <sheetViews>
    <sheetView tabSelected="1" workbookViewId="0">
      <selection activeCell="E8" sqref="E8"/>
    </sheetView>
  </sheetViews>
  <sheetFormatPr defaultRowHeight="14.4"/>
  <cols>
    <col min="2" max="2" width="5.69921875" customWidth="1"/>
    <col min="3" max="3" width="15.69921875" customWidth="1"/>
    <col min="4" max="4" width="20.5" customWidth="1"/>
    <col min="5" max="6" width="30.69921875" customWidth="1"/>
  </cols>
  <sheetData>
    <row r="1" spans="2:6" ht="42.6" customHeight="1">
      <c r="B1" s="152" t="s">
        <v>191</v>
      </c>
      <c r="C1" s="153"/>
      <c r="D1" s="153"/>
      <c r="E1" s="153"/>
      <c r="F1" s="153"/>
    </row>
    <row r="2" spans="2:6" ht="15.6">
      <c r="B2" s="67"/>
      <c r="C2" s="67"/>
      <c r="D2" s="68"/>
      <c r="E2" s="68"/>
    </row>
    <row r="3" spans="2:6">
      <c r="B3" s="119" t="s">
        <v>192</v>
      </c>
      <c r="C3" s="119" t="s">
        <v>193</v>
      </c>
      <c r="D3" s="119" t="s">
        <v>194</v>
      </c>
      <c r="E3" s="119" t="s">
        <v>195</v>
      </c>
      <c r="F3" s="119" t="s">
        <v>28</v>
      </c>
    </row>
    <row r="4" spans="2:6">
      <c r="B4" s="122">
        <v>1</v>
      </c>
      <c r="C4" s="170" t="s">
        <v>316</v>
      </c>
      <c r="D4" s="122" t="s">
        <v>676</v>
      </c>
      <c r="E4" s="123" t="s">
        <v>485</v>
      </c>
      <c r="F4" s="123"/>
    </row>
    <row r="5" spans="2:6">
      <c r="B5" s="122">
        <v>2</v>
      </c>
      <c r="C5" s="171"/>
      <c r="D5" s="122" t="s">
        <v>678</v>
      </c>
      <c r="E5" s="123" t="s">
        <v>677</v>
      </c>
      <c r="F5" s="123"/>
    </row>
    <row r="6" spans="2:6">
      <c r="B6" s="122">
        <v>3</v>
      </c>
      <c r="C6" s="170" t="s">
        <v>317</v>
      </c>
      <c r="D6" s="122" t="s">
        <v>679</v>
      </c>
      <c r="E6" s="123" t="s">
        <v>512</v>
      </c>
      <c r="F6" s="123"/>
    </row>
    <row r="7" spans="2:6">
      <c r="B7" s="122">
        <v>4</v>
      </c>
      <c r="C7" s="171"/>
      <c r="D7" s="122" t="s">
        <v>681</v>
      </c>
      <c r="E7" s="123" t="s">
        <v>680</v>
      </c>
      <c r="F7" s="123"/>
    </row>
    <row r="8" spans="2:6">
      <c r="B8" s="122">
        <v>5</v>
      </c>
      <c r="C8" s="172" t="s">
        <v>319</v>
      </c>
      <c r="D8" s="127" t="s">
        <v>683</v>
      </c>
      <c r="E8" s="123" t="s">
        <v>682</v>
      </c>
      <c r="F8" s="125"/>
    </row>
    <row r="9" spans="2:6">
      <c r="B9" s="122">
        <v>6</v>
      </c>
      <c r="C9" s="173"/>
      <c r="D9" s="122" t="s">
        <v>685</v>
      </c>
      <c r="E9" s="123" t="s">
        <v>684</v>
      </c>
      <c r="F9" s="123"/>
    </row>
    <row r="10" spans="2:6">
      <c r="B10" s="122">
        <v>7</v>
      </c>
      <c r="C10" s="172" t="s">
        <v>320</v>
      </c>
      <c r="D10" s="122" t="s">
        <v>687</v>
      </c>
      <c r="E10" s="123" t="s">
        <v>686</v>
      </c>
      <c r="F10" s="123"/>
    </row>
    <row r="11" spans="2:6">
      <c r="B11" s="122">
        <v>8</v>
      </c>
      <c r="C11" s="174"/>
      <c r="D11" s="122" t="s">
        <v>689</v>
      </c>
      <c r="E11" s="123" t="s">
        <v>688</v>
      </c>
      <c r="F11" s="123"/>
    </row>
    <row r="12" spans="2:6">
      <c r="B12" s="122">
        <v>9</v>
      </c>
      <c r="C12" s="174"/>
      <c r="D12" s="122" t="s">
        <v>691</v>
      </c>
      <c r="E12" s="123" t="s">
        <v>690</v>
      </c>
      <c r="F12" s="123"/>
    </row>
    <row r="13" spans="2:6">
      <c r="B13" s="122">
        <v>10</v>
      </c>
      <c r="C13" s="173"/>
      <c r="D13" s="122" t="s">
        <v>693</v>
      </c>
      <c r="E13" s="123" t="s">
        <v>692</v>
      </c>
      <c r="F13" s="123"/>
    </row>
    <row r="14" spans="2:6">
      <c r="B14" s="122">
        <v>11</v>
      </c>
      <c r="C14" s="172" t="s">
        <v>321</v>
      </c>
      <c r="D14" s="126" t="s">
        <v>695</v>
      </c>
      <c r="E14" s="169" t="s">
        <v>694</v>
      </c>
      <c r="F14" s="124"/>
    </row>
    <row r="15" spans="2:6">
      <c r="B15" s="122">
        <v>12</v>
      </c>
      <c r="C15" s="174"/>
      <c r="D15" s="126" t="s">
        <v>696</v>
      </c>
      <c r="E15" s="169" t="s">
        <v>688</v>
      </c>
      <c r="F15" s="124"/>
    </row>
    <row r="16" spans="2:6">
      <c r="B16" s="122">
        <v>13</v>
      </c>
      <c r="C16" s="174"/>
      <c r="D16" s="126" t="s">
        <v>697</v>
      </c>
      <c r="E16" s="169" t="s">
        <v>690</v>
      </c>
      <c r="F16" s="124"/>
    </row>
    <row r="17" spans="2:6">
      <c r="B17" s="122">
        <v>14</v>
      </c>
      <c r="C17" s="173"/>
      <c r="D17" s="126" t="s">
        <v>698</v>
      </c>
      <c r="E17" s="169" t="s">
        <v>692</v>
      </c>
      <c r="F17" s="124"/>
    </row>
    <row r="18" spans="2:6">
      <c r="B18" s="122">
        <v>15</v>
      </c>
      <c r="C18" s="124"/>
      <c r="D18" s="126"/>
      <c r="E18" s="124"/>
      <c r="F18" s="124"/>
    </row>
  </sheetData>
  <mergeCells count="6">
    <mergeCell ref="C14:C17"/>
    <mergeCell ref="B1:F1"/>
    <mergeCell ref="C4:C5"/>
    <mergeCell ref="C6:C7"/>
    <mergeCell ref="C8:C9"/>
    <mergeCell ref="C10:C1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B18-B2B2-48E3-8777-0CEE03278277}">
  <sheetPr codeName="Sheet5">
    <pageSetUpPr fitToPage="1"/>
  </sheetPr>
  <dimension ref="A1:R82"/>
  <sheetViews>
    <sheetView topLeftCell="A2" zoomScale="85" zoomScaleNormal="85" workbookViewId="0">
      <selection activeCell="C11" sqref="C11"/>
    </sheetView>
  </sheetViews>
  <sheetFormatPr defaultColWidth="8.8984375" defaultRowHeight="15.6"/>
  <cols>
    <col min="1" max="1" width="2.69921875" style="54" customWidth="1"/>
    <col min="2" max="2" width="6.5" style="55" customWidth="1"/>
    <col min="3" max="4" width="10" style="55" customWidth="1"/>
    <col min="5" max="5" width="13.59765625" style="55" customWidth="1"/>
    <col min="6" max="7" width="5.69921875" style="55" customWidth="1"/>
    <col min="8" max="8" width="18.3984375" style="55" customWidth="1"/>
    <col min="9" max="9" width="25.69921875" style="55" customWidth="1"/>
    <col min="10" max="10" width="22" style="54" customWidth="1"/>
    <col min="11" max="11" width="32" style="54" customWidth="1"/>
    <col min="12" max="13" width="8.69921875" style="54" customWidth="1"/>
    <col min="14" max="14" width="9.09765625" style="54" customWidth="1"/>
    <col min="15" max="15" width="30.69921875" style="54" customWidth="1"/>
    <col min="16" max="16" width="10.59765625" style="54" bestFit="1" customWidth="1"/>
    <col min="17" max="16384" width="8.8984375" style="54"/>
  </cols>
  <sheetData>
    <row r="1" spans="1:18" ht="66" customHeight="1">
      <c r="B1" s="56"/>
      <c r="C1" s="56"/>
      <c r="D1" s="56"/>
      <c r="E1" s="56"/>
      <c r="F1" s="57"/>
      <c r="G1" s="57"/>
      <c r="H1" s="57"/>
      <c r="I1" s="57"/>
      <c r="J1" s="58"/>
      <c r="K1" s="58"/>
    </row>
    <row r="2" spans="1:18" ht="59.55" customHeight="1">
      <c r="A2" s="59"/>
      <c r="B2" s="114" t="s">
        <v>212</v>
      </c>
      <c r="C2" s="154" t="s">
        <v>344</v>
      </c>
      <c r="D2" s="155"/>
      <c r="E2" s="155"/>
      <c r="F2" s="155"/>
      <c r="G2" s="155"/>
      <c r="H2" s="155"/>
      <c r="I2" s="155"/>
      <c r="J2" s="155"/>
      <c r="K2" s="156"/>
      <c r="L2" s="62"/>
      <c r="M2" s="63"/>
      <c r="N2" s="63"/>
      <c r="O2" s="63"/>
      <c r="P2" s="63"/>
    </row>
    <row r="3" spans="1:18" ht="7.5" customHeight="1">
      <c r="B3" s="67"/>
      <c r="C3" s="67"/>
      <c r="D3" s="67"/>
      <c r="E3" s="67"/>
      <c r="F3" s="68"/>
      <c r="G3" s="68"/>
      <c r="H3" s="68"/>
      <c r="I3" s="68"/>
      <c r="J3" s="69"/>
      <c r="K3" s="69"/>
    </row>
    <row r="4" spans="1:18">
      <c r="A4" s="59"/>
      <c r="B4" s="160" t="s">
        <v>113</v>
      </c>
      <c r="C4" s="160"/>
      <c r="D4" s="160"/>
      <c r="E4" s="160"/>
      <c r="F4" s="160"/>
      <c r="G4" s="160"/>
      <c r="H4" s="160"/>
      <c r="I4" s="160"/>
      <c r="J4" s="160"/>
      <c r="K4" s="160"/>
      <c r="L4" s="60"/>
    </row>
    <row r="5" spans="1:18" s="63" customFormat="1" ht="65.400000000000006" customHeight="1">
      <c r="A5" s="61"/>
      <c r="B5" s="157" t="s">
        <v>170</v>
      </c>
      <c r="C5" s="157"/>
      <c r="D5" s="157"/>
      <c r="E5" s="158"/>
      <c r="F5" s="158"/>
      <c r="G5" s="158"/>
      <c r="H5" s="158"/>
      <c r="I5" s="158"/>
      <c r="J5" s="158"/>
      <c r="K5" s="158"/>
      <c r="L5" s="62"/>
    </row>
    <row r="6" spans="1:18">
      <c r="A6" s="59"/>
      <c r="B6" s="159" t="s">
        <v>102</v>
      </c>
      <c r="C6" s="159"/>
      <c r="D6" s="159"/>
      <c r="E6" s="159"/>
      <c r="F6" s="159"/>
      <c r="G6" s="159"/>
      <c r="H6" s="159"/>
      <c r="I6" s="159"/>
      <c r="J6" s="159"/>
      <c r="K6" s="159"/>
      <c r="L6" s="60"/>
    </row>
    <row r="7" spans="1:18" ht="95.55" customHeight="1">
      <c r="A7" s="59"/>
      <c r="B7" s="157" t="s">
        <v>544</v>
      </c>
      <c r="C7" s="157"/>
      <c r="D7" s="157"/>
      <c r="E7" s="158"/>
      <c r="F7" s="158"/>
      <c r="G7" s="158"/>
      <c r="H7" s="158"/>
      <c r="I7" s="158"/>
      <c r="J7" s="158"/>
      <c r="K7" s="158"/>
      <c r="L7" s="60"/>
    </row>
    <row r="8" spans="1:18">
      <c r="A8" s="59"/>
      <c r="B8" s="159" t="s">
        <v>114</v>
      </c>
      <c r="C8" s="159"/>
      <c r="D8" s="159"/>
      <c r="E8" s="159"/>
      <c r="F8" s="159"/>
      <c r="G8" s="159"/>
      <c r="H8" s="159"/>
      <c r="I8" s="159"/>
      <c r="J8" s="159"/>
      <c r="K8" s="159"/>
      <c r="L8" s="60"/>
    </row>
    <row r="9" spans="1:18" ht="79.8" customHeight="1">
      <c r="A9" s="59"/>
      <c r="B9" s="157" t="s">
        <v>189</v>
      </c>
      <c r="C9" s="157"/>
      <c r="D9" s="157"/>
      <c r="E9" s="158"/>
      <c r="F9" s="158"/>
      <c r="G9" s="158"/>
      <c r="H9" s="158"/>
      <c r="I9" s="158"/>
      <c r="J9" s="158"/>
      <c r="K9" s="158"/>
      <c r="L9" s="60"/>
    </row>
    <row r="10" spans="1:18" ht="10.050000000000001" customHeight="1">
      <c r="B10" s="92"/>
      <c r="C10" s="92"/>
      <c r="D10" s="92"/>
      <c r="E10" s="92"/>
      <c r="F10" s="82"/>
      <c r="G10" s="82"/>
      <c r="H10" s="82"/>
      <c r="I10" s="82"/>
      <c r="J10" s="83"/>
      <c r="K10" s="83"/>
      <c r="L10" s="58"/>
      <c r="M10" s="58"/>
      <c r="N10" s="58"/>
      <c r="O10" s="58"/>
      <c r="P10" s="58"/>
      <c r="Q10" s="58"/>
    </row>
    <row r="11" spans="1:18">
      <c r="A11" s="59"/>
      <c r="B11" s="100" t="s">
        <v>167</v>
      </c>
      <c r="C11" s="100" t="s">
        <v>327</v>
      </c>
      <c r="D11" s="100" t="s">
        <v>61</v>
      </c>
      <c r="E11" s="100" t="s">
        <v>116</v>
      </c>
      <c r="F11" s="100" t="s">
        <v>103</v>
      </c>
      <c r="G11" s="100" t="s">
        <v>104</v>
      </c>
      <c r="H11" s="100" t="s">
        <v>105</v>
      </c>
      <c r="I11" s="100" t="s">
        <v>117</v>
      </c>
      <c r="J11" s="100" t="s">
        <v>106</v>
      </c>
      <c r="K11" s="100" t="s">
        <v>107</v>
      </c>
      <c r="L11" s="64" t="s">
        <v>108</v>
      </c>
      <c r="M11" s="64" t="s">
        <v>109</v>
      </c>
      <c r="N11" s="64" t="s">
        <v>110</v>
      </c>
      <c r="O11" s="64" t="s">
        <v>111</v>
      </c>
      <c r="P11" s="64" t="s">
        <v>115</v>
      </c>
      <c r="Q11" s="64" t="s">
        <v>112</v>
      </c>
      <c r="R11" s="60"/>
    </row>
    <row r="12" spans="1:18" ht="52.8">
      <c r="A12" s="59"/>
      <c r="B12" s="101">
        <v>1</v>
      </c>
      <c r="C12" s="101" t="s">
        <v>125</v>
      </c>
      <c r="D12" s="101" t="s">
        <v>338</v>
      </c>
      <c r="E12" s="102" t="s">
        <v>486</v>
      </c>
      <c r="F12" s="101" t="s">
        <v>135</v>
      </c>
      <c r="G12" s="101" t="s">
        <v>136</v>
      </c>
      <c r="H12" s="102" t="s">
        <v>377</v>
      </c>
      <c r="I12" s="102" t="s">
        <v>190</v>
      </c>
      <c r="J12" s="102" t="s">
        <v>177</v>
      </c>
      <c r="K12" s="111" t="s">
        <v>214</v>
      </c>
      <c r="L12" s="103"/>
      <c r="M12" s="103"/>
      <c r="N12" s="104"/>
      <c r="O12" s="104"/>
      <c r="P12" s="104"/>
      <c r="Q12" s="104"/>
      <c r="R12" s="60"/>
    </row>
    <row r="13" spans="1:18" ht="52.8">
      <c r="A13" s="59"/>
      <c r="B13" s="101">
        <v>2</v>
      </c>
      <c r="C13" s="101"/>
      <c r="D13" s="101" t="s">
        <v>339</v>
      </c>
      <c r="E13" s="102" t="s">
        <v>486</v>
      </c>
      <c r="F13" s="101" t="s">
        <v>135</v>
      </c>
      <c r="G13" s="101" t="s">
        <v>138</v>
      </c>
      <c r="H13" s="102" t="s">
        <v>377</v>
      </c>
      <c r="I13" s="102" t="s">
        <v>388</v>
      </c>
      <c r="J13" s="111"/>
      <c r="K13" s="111" t="s">
        <v>331</v>
      </c>
      <c r="L13" s="103"/>
      <c r="M13" s="103"/>
      <c r="N13" s="104"/>
      <c r="O13" s="104"/>
      <c r="P13" s="104"/>
      <c r="Q13" s="104"/>
      <c r="R13" s="60"/>
    </row>
    <row r="14" spans="1:18" ht="52.8">
      <c r="A14" s="59"/>
      <c r="B14" s="101">
        <v>3</v>
      </c>
      <c r="C14" s="101"/>
      <c r="D14" s="101" t="s">
        <v>340</v>
      </c>
      <c r="E14" s="102" t="s">
        <v>486</v>
      </c>
      <c r="F14" s="101" t="s">
        <v>125</v>
      </c>
      <c r="G14" s="101" t="s">
        <v>138</v>
      </c>
      <c r="H14" s="102" t="s">
        <v>377</v>
      </c>
      <c r="I14" s="102" t="s">
        <v>378</v>
      </c>
      <c r="J14" s="111"/>
      <c r="K14" s="111" t="s">
        <v>379</v>
      </c>
      <c r="L14" s="103"/>
      <c r="M14" s="103"/>
      <c r="N14" s="109"/>
      <c r="O14" s="109"/>
      <c r="P14" s="109"/>
      <c r="Q14" s="109"/>
      <c r="R14" s="60"/>
    </row>
    <row r="15" spans="1:18" ht="39.6">
      <c r="A15" s="59"/>
      <c r="B15" s="101">
        <v>4</v>
      </c>
      <c r="C15" s="101"/>
      <c r="D15" s="101" t="s">
        <v>341</v>
      </c>
      <c r="E15" s="102" t="s">
        <v>486</v>
      </c>
      <c r="F15" s="101" t="s">
        <v>135</v>
      </c>
      <c r="G15" s="101" t="s">
        <v>136</v>
      </c>
      <c r="H15" s="102" t="s">
        <v>346</v>
      </c>
      <c r="I15" s="102" t="s">
        <v>175</v>
      </c>
      <c r="J15" s="111" t="s">
        <v>179</v>
      </c>
      <c r="K15" s="111" t="s">
        <v>217</v>
      </c>
      <c r="L15" s="103"/>
      <c r="M15" s="103"/>
      <c r="N15" s="104"/>
      <c r="O15" s="104"/>
      <c r="P15" s="104"/>
      <c r="Q15" s="104"/>
      <c r="R15" s="60"/>
    </row>
    <row r="16" spans="1:18" ht="52.8">
      <c r="A16" s="59"/>
      <c r="B16" s="101">
        <v>5</v>
      </c>
      <c r="C16" s="101"/>
      <c r="D16" s="101" t="s">
        <v>342</v>
      </c>
      <c r="E16" s="102" t="s">
        <v>486</v>
      </c>
      <c r="F16" s="101" t="s">
        <v>125</v>
      </c>
      <c r="G16" s="101" t="s">
        <v>136</v>
      </c>
      <c r="H16" s="102" t="s">
        <v>346</v>
      </c>
      <c r="I16" s="102" t="s">
        <v>324</v>
      </c>
      <c r="J16" s="111"/>
      <c r="K16" s="102" t="s">
        <v>178</v>
      </c>
      <c r="L16" s="103"/>
      <c r="M16" s="103"/>
      <c r="N16" s="109"/>
      <c r="O16" s="109"/>
      <c r="P16" s="109"/>
      <c r="Q16" s="109"/>
      <c r="R16" s="60"/>
    </row>
    <row r="17" spans="1:18" ht="39.6">
      <c r="A17" s="59"/>
      <c r="B17" s="101">
        <v>6</v>
      </c>
      <c r="C17" s="101"/>
      <c r="D17" s="101" t="s">
        <v>343</v>
      </c>
      <c r="E17" s="102" t="s">
        <v>486</v>
      </c>
      <c r="F17" s="101" t="s">
        <v>125</v>
      </c>
      <c r="G17" s="101" t="s">
        <v>138</v>
      </c>
      <c r="H17" s="102" t="s">
        <v>346</v>
      </c>
      <c r="I17" s="102" t="s">
        <v>176</v>
      </c>
      <c r="J17" s="102" t="s">
        <v>139</v>
      </c>
      <c r="K17" s="111" t="s">
        <v>140</v>
      </c>
      <c r="L17" s="103"/>
      <c r="M17" s="103"/>
      <c r="N17" s="109"/>
      <c r="O17" s="109"/>
      <c r="P17" s="109"/>
      <c r="Q17" s="109"/>
      <c r="R17" s="60"/>
    </row>
    <row r="18" spans="1:18" ht="52.8">
      <c r="A18" s="59"/>
      <c r="B18" s="101">
        <v>7</v>
      </c>
      <c r="C18" s="101" t="s">
        <v>328</v>
      </c>
      <c r="D18" s="101" t="s">
        <v>348</v>
      </c>
      <c r="E18" s="102" t="s">
        <v>484</v>
      </c>
      <c r="F18" s="101" t="s">
        <v>141</v>
      </c>
      <c r="G18" s="101" t="s">
        <v>136</v>
      </c>
      <c r="H18" s="102" t="s">
        <v>347</v>
      </c>
      <c r="I18" s="102" t="s">
        <v>184</v>
      </c>
      <c r="J18" s="102" t="s">
        <v>332</v>
      </c>
      <c r="K18" s="111" t="s">
        <v>333</v>
      </c>
      <c r="L18" s="103"/>
      <c r="M18" s="103"/>
      <c r="N18" s="104"/>
      <c r="O18" s="104"/>
      <c r="P18" s="104"/>
      <c r="Q18" s="104"/>
      <c r="R18" s="60"/>
    </row>
    <row r="19" spans="1:18" ht="39.6">
      <c r="A19" s="59"/>
      <c r="B19" s="101">
        <v>8</v>
      </c>
      <c r="C19" s="101"/>
      <c r="D19" s="101" t="s">
        <v>349</v>
      </c>
      <c r="E19" s="102" t="s">
        <v>484</v>
      </c>
      <c r="F19" s="101" t="s">
        <v>141</v>
      </c>
      <c r="G19" s="101" t="s">
        <v>142</v>
      </c>
      <c r="H19" s="102" t="s">
        <v>347</v>
      </c>
      <c r="I19" s="102" t="s">
        <v>185</v>
      </c>
      <c r="J19" s="111"/>
      <c r="K19" s="102" t="s">
        <v>216</v>
      </c>
      <c r="L19" s="102"/>
      <c r="M19" s="102"/>
      <c r="N19" s="104"/>
      <c r="O19" s="104"/>
      <c r="P19" s="104"/>
      <c r="Q19" s="104"/>
      <c r="R19" s="60"/>
    </row>
    <row r="20" spans="1:18" ht="26.4">
      <c r="A20" s="59"/>
      <c r="B20" s="101">
        <v>9</v>
      </c>
      <c r="C20" s="101"/>
      <c r="D20" s="101" t="s">
        <v>350</v>
      </c>
      <c r="E20" s="102" t="s">
        <v>484</v>
      </c>
      <c r="F20" s="101" t="s">
        <v>141</v>
      </c>
      <c r="G20" s="101" t="s">
        <v>142</v>
      </c>
      <c r="H20" s="102" t="s">
        <v>347</v>
      </c>
      <c r="I20" s="102" t="s">
        <v>215</v>
      </c>
      <c r="J20" s="102" t="s">
        <v>171</v>
      </c>
      <c r="K20" s="102" t="s">
        <v>180</v>
      </c>
      <c r="L20" s="102"/>
      <c r="M20" s="102"/>
      <c r="N20" s="102"/>
      <c r="O20" s="109"/>
      <c r="P20" s="109"/>
      <c r="Q20" s="109"/>
      <c r="R20" s="60"/>
    </row>
    <row r="21" spans="1:18" ht="52.8">
      <c r="A21" s="59"/>
      <c r="B21" s="101">
        <v>10</v>
      </c>
      <c r="C21" s="101"/>
      <c r="D21" s="101" t="s">
        <v>351</v>
      </c>
      <c r="E21" s="102" t="s">
        <v>484</v>
      </c>
      <c r="F21" s="101" t="s">
        <v>141</v>
      </c>
      <c r="G21" s="101" t="s">
        <v>136</v>
      </c>
      <c r="H21" s="102" t="s">
        <v>376</v>
      </c>
      <c r="I21" s="102" t="s">
        <v>186</v>
      </c>
      <c r="J21" s="111"/>
      <c r="K21" s="102" t="s">
        <v>218</v>
      </c>
      <c r="L21" s="103"/>
      <c r="M21" s="103"/>
      <c r="N21" s="109"/>
      <c r="O21" s="109"/>
      <c r="P21" s="109"/>
      <c r="Q21" s="109"/>
      <c r="R21" s="60"/>
    </row>
    <row r="22" spans="1:18" ht="52.8">
      <c r="A22" s="59"/>
      <c r="B22" s="101">
        <v>11</v>
      </c>
      <c r="C22" s="101"/>
      <c r="D22" s="101" t="s">
        <v>352</v>
      </c>
      <c r="E22" s="102" t="s">
        <v>484</v>
      </c>
      <c r="F22" s="101" t="s">
        <v>141</v>
      </c>
      <c r="G22" s="101" t="s">
        <v>142</v>
      </c>
      <c r="H22" s="102" t="s">
        <v>376</v>
      </c>
      <c r="I22" s="102" t="s">
        <v>326</v>
      </c>
      <c r="J22" s="111"/>
      <c r="K22" s="111" t="s">
        <v>183</v>
      </c>
      <c r="L22" s="103"/>
      <c r="M22" s="103"/>
      <c r="N22" s="104"/>
      <c r="O22" s="104"/>
      <c r="P22" s="104"/>
      <c r="Q22" s="104"/>
      <c r="R22" s="60"/>
    </row>
    <row r="23" spans="1:18" ht="66">
      <c r="A23" s="59"/>
      <c r="B23" s="101">
        <v>12</v>
      </c>
      <c r="C23" s="101"/>
      <c r="D23" s="101" t="s">
        <v>353</v>
      </c>
      <c r="E23" s="102" t="s">
        <v>484</v>
      </c>
      <c r="F23" s="101" t="s">
        <v>141</v>
      </c>
      <c r="G23" s="101" t="s">
        <v>142</v>
      </c>
      <c r="H23" s="102" t="s">
        <v>376</v>
      </c>
      <c r="I23" s="102" t="s">
        <v>334</v>
      </c>
      <c r="J23" s="102"/>
      <c r="K23" s="102" t="s">
        <v>219</v>
      </c>
      <c r="L23" s="103"/>
      <c r="M23" s="103"/>
      <c r="N23" s="104"/>
      <c r="O23" s="104"/>
      <c r="P23" s="104"/>
      <c r="Q23" s="104"/>
      <c r="R23" s="60"/>
    </row>
    <row r="24" spans="1:18" ht="66">
      <c r="A24" s="59"/>
      <c r="B24" s="101">
        <v>13</v>
      </c>
      <c r="C24" s="101"/>
      <c r="D24" s="101" t="s">
        <v>354</v>
      </c>
      <c r="E24" s="102" t="s">
        <v>484</v>
      </c>
      <c r="F24" s="101" t="s">
        <v>141</v>
      </c>
      <c r="G24" s="101" t="s">
        <v>142</v>
      </c>
      <c r="H24" s="102" t="s">
        <v>376</v>
      </c>
      <c r="I24" s="102" t="s">
        <v>335</v>
      </c>
      <c r="J24" s="102"/>
      <c r="K24" s="102" t="s">
        <v>181</v>
      </c>
      <c r="L24" s="103"/>
      <c r="M24" s="103"/>
      <c r="N24" s="104"/>
      <c r="O24" s="104"/>
      <c r="P24" s="104"/>
      <c r="Q24" s="104"/>
      <c r="R24" s="60"/>
    </row>
    <row r="25" spans="1:18" ht="66">
      <c r="A25" s="59"/>
      <c r="B25" s="101">
        <v>14</v>
      </c>
      <c r="C25" s="101"/>
      <c r="D25" s="101" t="s">
        <v>355</v>
      </c>
      <c r="E25" s="102" t="s">
        <v>484</v>
      </c>
      <c r="F25" s="101" t="s">
        <v>141</v>
      </c>
      <c r="G25" s="101" t="s">
        <v>142</v>
      </c>
      <c r="H25" s="102" t="s">
        <v>376</v>
      </c>
      <c r="I25" s="102" t="s">
        <v>336</v>
      </c>
      <c r="J25" s="102"/>
      <c r="K25" s="102" t="s">
        <v>182</v>
      </c>
      <c r="L25" s="103"/>
      <c r="M25" s="103"/>
      <c r="N25" s="109"/>
      <c r="O25" s="109"/>
      <c r="P25" s="109"/>
      <c r="Q25" s="109"/>
      <c r="R25" s="60"/>
    </row>
    <row r="26" spans="1:18" ht="52.8">
      <c r="A26" s="59"/>
      <c r="B26" s="101">
        <v>15</v>
      </c>
      <c r="C26" s="101"/>
      <c r="D26" s="101" t="s">
        <v>487</v>
      </c>
      <c r="E26" s="102" t="s">
        <v>484</v>
      </c>
      <c r="F26" s="101" t="s">
        <v>124</v>
      </c>
      <c r="G26" s="101" t="s">
        <v>136</v>
      </c>
      <c r="H26" s="102" t="s">
        <v>347</v>
      </c>
      <c r="I26" s="102" t="s">
        <v>184</v>
      </c>
      <c r="J26" s="102" t="s">
        <v>332</v>
      </c>
      <c r="K26" s="111" t="s">
        <v>333</v>
      </c>
      <c r="L26" s="103"/>
      <c r="M26" s="103"/>
      <c r="N26" s="109"/>
      <c r="O26" s="109"/>
      <c r="P26" s="109"/>
      <c r="Q26" s="109"/>
      <c r="R26" s="60"/>
    </row>
    <row r="27" spans="1:18" ht="39.6">
      <c r="A27" s="59"/>
      <c r="B27" s="101">
        <v>16</v>
      </c>
      <c r="C27" s="101"/>
      <c r="D27" s="101" t="s">
        <v>488</v>
      </c>
      <c r="E27" s="102" t="s">
        <v>484</v>
      </c>
      <c r="F27" s="101" t="s">
        <v>124</v>
      </c>
      <c r="G27" s="101" t="s">
        <v>142</v>
      </c>
      <c r="H27" s="102" t="s">
        <v>347</v>
      </c>
      <c r="I27" s="102" t="s">
        <v>185</v>
      </c>
      <c r="J27" s="111"/>
      <c r="K27" s="102" t="s">
        <v>216</v>
      </c>
      <c r="L27" s="103"/>
      <c r="M27" s="103"/>
      <c r="N27" s="109"/>
      <c r="O27" s="109"/>
      <c r="P27" s="109"/>
      <c r="Q27" s="109"/>
      <c r="R27" s="60"/>
    </row>
    <row r="28" spans="1:18" ht="26.4">
      <c r="A28" s="59"/>
      <c r="B28" s="101">
        <v>17</v>
      </c>
      <c r="C28" s="101"/>
      <c r="D28" s="101" t="s">
        <v>489</v>
      </c>
      <c r="E28" s="102" t="s">
        <v>484</v>
      </c>
      <c r="F28" s="101" t="s">
        <v>124</v>
      </c>
      <c r="G28" s="101" t="s">
        <v>142</v>
      </c>
      <c r="H28" s="102" t="s">
        <v>347</v>
      </c>
      <c r="I28" s="102" t="s">
        <v>215</v>
      </c>
      <c r="J28" s="102" t="s">
        <v>171</v>
      </c>
      <c r="K28" s="102" t="s">
        <v>180</v>
      </c>
      <c r="L28" s="103"/>
      <c r="M28" s="103"/>
      <c r="N28" s="104"/>
      <c r="O28" s="104"/>
      <c r="P28" s="104"/>
      <c r="Q28" s="104"/>
      <c r="R28" s="60"/>
    </row>
    <row r="29" spans="1:18" ht="52.8">
      <c r="A29" s="59"/>
      <c r="B29" s="101">
        <v>18</v>
      </c>
      <c r="C29" s="101"/>
      <c r="D29" s="101" t="s">
        <v>490</v>
      </c>
      <c r="E29" s="102" t="s">
        <v>484</v>
      </c>
      <c r="F29" s="101" t="s">
        <v>124</v>
      </c>
      <c r="G29" s="101" t="s">
        <v>136</v>
      </c>
      <c r="H29" s="102" t="s">
        <v>376</v>
      </c>
      <c r="I29" s="102" t="s">
        <v>186</v>
      </c>
      <c r="J29" s="111"/>
      <c r="K29" s="102" t="s">
        <v>218</v>
      </c>
      <c r="L29" s="103"/>
      <c r="M29" s="103"/>
      <c r="N29" s="104"/>
      <c r="O29" s="104"/>
      <c r="P29" s="104"/>
      <c r="Q29" s="104"/>
      <c r="R29" s="60"/>
    </row>
    <row r="30" spans="1:18" ht="52.8">
      <c r="A30" s="59"/>
      <c r="B30" s="101">
        <v>19</v>
      </c>
      <c r="C30" s="101"/>
      <c r="D30" s="101" t="s">
        <v>491</v>
      </c>
      <c r="E30" s="102" t="s">
        <v>484</v>
      </c>
      <c r="F30" s="101" t="s">
        <v>124</v>
      </c>
      <c r="G30" s="101" t="s">
        <v>142</v>
      </c>
      <c r="H30" s="102" t="s">
        <v>376</v>
      </c>
      <c r="I30" s="102" t="s">
        <v>326</v>
      </c>
      <c r="J30" s="111"/>
      <c r="K30" s="111" t="s">
        <v>183</v>
      </c>
      <c r="L30" s="103"/>
      <c r="M30" s="103"/>
      <c r="N30" s="104"/>
      <c r="O30" s="104"/>
      <c r="P30" s="104"/>
      <c r="Q30" s="104"/>
      <c r="R30" s="60"/>
    </row>
    <row r="31" spans="1:18" ht="66">
      <c r="A31" s="59"/>
      <c r="B31" s="101">
        <v>20</v>
      </c>
      <c r="C31" s="101"/>
      <c r="D31" s="101" t="s">
        <v>492</v>
      </c>
      <c r="E31" s="102" t="s">
        <v>484</v>
      </c>
      <c r="F31" s="101" t="s">
        <v>124</v>
      </c>
      <c r="G31" s="101" t="s">
        <v>142</v>
      </c>
      <c r="H31" s="102" t="s">
        <v>376</v>
      </c>
      <c r="I31" s="102" t="s">
        <v>334</v>
      </c>
      <c r="J31" s="102"/>
      <c r="K31" s="102" t="s">
        <v>219</v>
      </c>
      <c r="L31" s="103"/>
      <c r="M31" s="103"/>
      <c r="N31" s="104"/>
      <c r="O31" s="104"/>
      <c r="P31" s="104"/>
      <c r="Q31" s="104"/>
      <c r="R31" s="60"/>
    </row>
    <row r="32" spans="1:18" ht="66">
      <c r="A32" s="59"/>
      <c r="B32" s="101">
        <v>21</v>
      </c>
      <c r="C32" s="101"/>
      <c r="D32" s="101" t="s">
        <v>493</v>
      </c>
      <c r="E32" s="102" t="s">
        <v>484</v>
      </c>
      <c r="F32" s="101" t="s">
        <v>124</v>
      </c>
      <c r="G32" s="101" t="s">
        <v>142</v>
      </c>
      <c r="H32" s="102" t="s">
        <v>376</v>
      </c>
      <c r="I32" s="102" t="s">
        <v>335</v>
      </c>
      <c r="J32" s="102"/>
      <c r="K32" s="102" t="s">
        <v>181</v>
      </c>
      <c r="L32" s="103"/>
      <c r="M32" s="103"/>
      <c r="N32" s="104"/>
      <c r="O32" s="104"/>
      <c r="P32" s="104"/>
      <c r="Q32" s="104"/>
      <c r="R32" s="60"/>
    </row>
    <row r="33" spans="1:18" ht="66">
      <c r="A33" s="59"/>
      <c r="B33" s="101">
        <v>22</v>
      </c>
      <c r="C33" s="101"/>
      <c r="D33" s="101" t="s">
        <v>494</v>
      </c>
      <c r="E33" s="102" t="s">
        <v>484</v>
      </c>
      <c r="F33" s="101" t="s">
        <v>124</v>
      </c>
      <c r="G33" s="101" t="s">
        <v>142</v>
      </c>
      <c r="H33" s="102" t="s">
        <v>376</v>
      </c>
      <c r="I33" s="102" t="s">
        <v>336</v>
      </c>
      <c r="J33" s="102"/>
      <c r="K33" s="102" t="s">
        <v>182</v>
      </c>
      <c r="L33" s="103"/>
      <c r="M33" s="103"/>
      <c r="N33" s="104"/>
      <c r="O33" s="104"/>
      <c r="P33" s="104"/>
      <c r="Q33" s="104"/>
      <c r="R33" s="60"/>
    </row>
    <row r="34" spans="1:18" ht="52.8">
      <c r="A34" s="59"/>
      <c r="B34" s="101">
        <v>23</v>
      </c>
      <c r="C34" s="101" t="s">
        <v>337</v>
      </c>
      <c r="D34" s="101" t="s">
        <v>495</v>
      </c>
      <c r="E34" s="102" t="s">
        <v>484</v>
      </c>
      <c r="F34" s="101" t="s">
        <v>141</v>
      </c>
      <c r="G34" s="101" t="s">
        <v>136</v>
      </c>
      <c r="H34" s="102" t="s">
        <v>347</v>
      </c>
      <c r="I34" s="102" t="s">
        <v>184</v>
      </c>
      <c r="J34" s="102" t="s">
        <v>332</v>
      </c>
      <c r="K34" s="111" t="s">
        <v>333</v>
      </c>
      <c r="L34" s="103"/>
      <c r="M34" s="103"/>
      <c r="N34" s="104"/>
      <c r="O34" s="104"/>
      <c r="P34" s="104"/>
      <c r="Q34" s="104"/>
      <c r="R34" s="60"/>
    </row>
    <row r="35" spans="1:18" ht="39.6">
      <c r="A35" s="59"/>
      <c r="B35" s="101">
        <v>24</v>
      </c>
      <c r="C35" s="101"/>
      <c r="D35" s="101" t="s">
        <v>496</v>
      </c>
      <c r="E35" s="102" t="s">
        <v>484</v>
      </c>
      <c r="F35" s="101" t="s">
        <v>141</v>
      </c>
      <c r="G35" s="101" t="s">
        <v>142</v>
      </c>
      <c r="H35" s="102" t="s">
        <v>347</v>
      </c>
      <c r="I35" s="102" t="s">
        <v>185</v>
      </c>
      <c r="J35" s="111"/>
      <c r="K35" s="102" t="s">
        <v>216</v>
      </c>
      <c r="L35" s="103"/>
      <c r="M35" s="103"/>
      <c r="N35" s="109"/>
      <c r="O35" s="109"/>
      <c r="P35" s="109"/>
      <c r="Q35" s="109"/>
      <c r="R35" s="60"/>
    </row>
    <row r="36" spans="1:18" ht="26.4">
      <c r="A36" s="59"/>
      <c r="B36" s="101">
        <v>25</v>
      </c>
      <c r="C36" s="101"/>
      <c r="D36" s="101" t="s">
        <v>497</v>
      </c>
      <c r="E36" s="102" t="s">
        <v>484</v>
      </c>
      <c r="F36" s="101" t="s">
        <v>141</v>
      </c>
      <c r="G36" s="101" t="s">
        <v>142</v>
      </c>
      <c r="H36" s="102" t="s">
        <v>347</v>
      </c>
      <c r="I36" s="102" t="s">
        <v>215</v>
      </c>
      <c r="J36" s="102" t="s">
        <v>171</v>
      </c>
      <c r="K36" s="102" t="s">
        <v>180</v>
      </c>
      <c r="L36" s="103"/>
      <c r="M36" s="103"/>
      <c r="N36" s="109"/>
      <c r="O36" s="109"/>
      <c r="P36" s="109"/>
      <c r="Q36" s="109"/>
      <c r="R36" s="60"/>
    </row>
    <row r="37" spans="1:18" ht="52.8">
      <c r="A37" s="59"/>
      <c r="B37" s="101">
        <v>26</v>
      </c>
      <c r="C37" s="101"/>
      <c r="D37" s="101" t="s">
        <v>498</v>
      </c>
      <c r="E37" s="102" t="s">
        <v>484</v>
      </c>
      <c r="F37" s="101" t="s">
        <v>141</v>
      </c>
      <c r="G37" s="101" t="s">
        <v>136</v>
      </c>
      <c r="H37" s="102" t="s">
        <v>376</v>
      </c>
      <c r="I37" s="102" t="s">
        <v>186</v>
      </c>
      <c r="J37" s="111"/>
      <c r="K37" s="102" t="s">
        <v>218</v>
      </c>
      <c r="L37" s="103"/>
      <c r="M37" s="103"/>
      <c r="N37" s="109"/>
      <c r="O37" s="109"/>
      <c r="P37" s="109"/>
      <c r="Q37" s="109"/>
      <c r="R37" s="60"/>
    </row>
    <row r="38" spans="1:18" ht="52.8">
      <c r="A38" s="59"/>
      <c r="B38" s="101">
        <v>27</v>
      </c>
      <c r="C38" s="101"/>
      <c r="D38" s="101" t="s">
        <v>499</v>
      </c>
      <c r="E38" s="102" t="s">
        <v>484</v>
      </c>
      <c r="F38" s="101" t="s">
        <v>141</v>
      </c>
      <c r="G38" s="101" t="s">
        <v>142</v>
      </c>
      <c r="H38" s="102" t="s">
        <v>376</v>
      </c>
      <c r="I38" s="102" t="s">
        <v>326</v>
      </c>
      <c r="J38" s="111"/>
      <c r="K38" s="111" t="s">
        <v>183</v>
      </c>
      <c r="L38" s="103"/>
      <c r="M38" s="103"/>
      <c r="N38" s="109"/>
      <c r="O38" s="109"/>
      <c r="P38" s="109"/>
      <c r="Q38" s="109"/>
      <c r="R38" s="60"/>
    </row>
    <row r="39" spans="1:18" ht="66">
      <c r="A39" s="59"/>
      <c r="B39" s="101">
        <v>28</v>
      </c>
      <c r="C39" s="101"/>
      <c r="D39" s="101" t="s">
        <v>500</v>
      </c>
      <c r="E39" s="102" t="s">
        <v>484</v>
      </c>
      <c r="F39" s="101" t="s">
        <v>141</v>
      </c>
      <c r="G39" s="101" t="s">
        <v>142</v>
      </c>
      <c r="H39" s="102" t="s">
        <v>376</v>
      </c>
      <c r="I39" s="102" t="s">
        <v>334</v>
      </c>
      <c r="J39" s="102"/>
      <c r="K39" s="102" t="s">
        <v>219</v>
      </c>
      <c r="L39" s="103"/>
      <c r="M39" s="103"/>
      <c r="N39" s="109"/>
      <c r="O39" s="109"/>
      <c r="P39" s="109"/>
      <c r="Q39" s="109"/>
      <c r="R39" s="60"/>
    </row>
    <row r="40" spans="1:18" ht="66">
      <c r="A40" s="59"/>
      <c r="B40" s="101">
        <v>29</v>
      </c>
      <c r="C40" s="101"/>
      <c r="D40" s="101" t="s">
        <v>501</v>
      </c>
      <c r="E40" s="102" t="s">
        <v>484</v>
      </c>
      <c r="F40" s="101" t="s">
        <v>141</v>
      </c>
      <c r="G40" s="101" t="s">
        <v>142</v>
      </c>
      <c r="H40" s="102" t="s">
        <v>376</v>
      </c>
      <c r="I40" s="102" t="s">
        <v>335</v>
      </c>
      <c r="J40" s="102"/>
      <c r="K40" s="102" t="s">
        <v>181</v>
      </c>
      <c r="L40" s="103"/>
      <c r="M40" s="103"/>
      <c r="N40" s="109"/>
      <c r="O40" s="109"/>
      <c r="P40" s="109"/>
      <c r="Q40" s="109"/>
      <c r="R40" s="60"/>
    </row>
    <row r="41" spans="1:18" ht="66">
      <c r="A41" s="59"/>
      <c r="B41" s="101">
        <v>30</v>
      </c>
      <c r="C41" s="101"/>
      <c r="D41" s="101" t="s">
        <v>502</v>
      </c>
      <c r="E41" s="102" t="s">
        <v>484</v>
      </c>
      <c r="F41" s="101" t="s">
        <v>141</v>
      </c>
      <c r="G41" s="101" t="s">
        <v>142</v>
      </c>
      <c r="H41" s="102" t="s">
        <v>376</v>
      </c>
      <c r="I41" s="102" t="s">
        <v>336</v>
      </c>
      <c r="J41" s="102"/>
      <c r="K41" s="102" t="s">
        <v>182</v>
      </c>
      <c r="L41" s="103"/>
      <c r="M41" s="103"/>
      <c r="N41" s="109"/>
      <c r="O41" s="109"/>
      <c r="P41" s="109"/>
      <c r="Q41" s="109"/>
      <c r="R41" s="60"/>
    </row>
    <row r="42" spans="1:18" ht="52.8">
      <c r="A42" s="59"/>
      <c r="B42" s="101">
        <v>31</v>
      </c>
      <c r="C42" s="101"/>
      <c r="D42" s="101" t="s">
        <v>503</v>
      </c>
      <c r="E42" s="102" t="s">
        <v>484</v>
      </c>
      <c r="F42" s="101" t="s">
        <v>124</v>
      </c>
      <c r="G42" s="101" t="s">
        <v>136</v>
      </c>
      <c r="H42" s="102" t="s">
        <v>347</v>
      </c>
      <c r="I42" s="102" t="s">
        <v>184</v>
      </c>
      <c r="J42" s="102" t="s">
        <v>332</v>
      </c>
      <c r="K42" s="111" t="s">
        <v>333</v>
      </c>
      <c r="L42" s="103"/>
      <c r="M42" s="103"/>
      <c r="N42" s="109"/>
      <c r="O42" s="109"/>
      <c r="P42" s="109"/>
      <c r="Q42" s="109"/>
      <c r="R42" s="60"/>
    </row>
    <row r="43" spans="1:18" ht="39.6">
      <c r="A43" s="59"/>
      <c r="B43" s="101">
        <v>32</v>
      </c>
      <c r="C43" s="101"/>
      <c r="D43" s="101" t="s">
        <v>504</v>
      </c>
      <c r="E43" s="102" t="s">
        <v>484</v>
      </c>
      <c r="F43" s="101" t="s">
        <v>124</v>
      </c>
      <c r="G43" s="101" t="s">
        <v>142</v>
      </c>
      <c r="H43" s="102" t="s">
        <v>347</v>
      </c>
      <c r="I43" s="102" t="s">
        <v>185</v>
      </c>
      <c r="J43" s="111"/>
      <c r="K43" s="102" t="s">
        <v>216</v>
      </c>
      <c r="L43" s="103"/>
      <c r="M43" s="103"/>
      <c r="N43" s="109"/>
      <c r="O43" s="109"/>
      <c r="P43" s="109"/>
      <c r="Q43" s="109"/>
      <c r="R43" s="60"/>
    </row>
    <row r="44" spans="1:18" ht="26.4">
      <c r="A44" s="59"/>
      <c r="B44" s="101">
        <v>33</v>
      </c>
      <c r="C44" s="101"/>
      <c r="D44" s="101" t="s">
        <v>505</v>
      </c>
      <c r="E44" s="102" t="s">
        <v>484</v>
      </c>
      <c r="F44" s="101" t="s">
        <v>124</v>
      </c>
      <c r="G44" s="101" t="s">
        <v>142</v>
      </c>
      <c r="H44" s="102" t="s">
        <v>347</v>
      </c>
      <c r="I44" s="102" t="s">
        <v>215</v>
      </c>
      <c r="J44" s="102" t="s">
        <v>171</v>
      </c>
      <c r="K44" s="102" t="s">
        <v>180</v>
      </c>
      <c r="L44" s="103"/>
      <c r="M44" s="103"/>
      <c r="N44" s="109"/>
      <c r="O44" s="109"/>
      <c r="P44" s="109"/>
      <c r="Q44" s="109"/>
      <c r="R44" s="60"/>
    </row>
    <row r="45" spans="1:18" ht="52.8">
      <c r="A45" s="59"/>
      <c r="B45" s="101">
        <v>34</v>
      </c>
      <c r="C45" s="101"/>
      <c r="D45" s="101" t="s">
        <v>506</v>
      </c>
      <c r="E45" s="102" t="s">
        <v>484</v>
      </c>
      <c r="F45" s="101" t="s">
        <v>124</v>
      </c>
      <c r="G45" s="101" t="s">
        <v>136</v>
      </c>
      <c r="H45" s="102" t="s">
        <v>376</v>
      </c>
      <c r="I45" s="102" t="s">
        <v>186</v>
      </c>
      <c r="J45" s="111"/>
      <c r="K45" s="102" t="s">
        <v>218</v>
      </c>
      <c r="L45" s="103"/>
      <c r="M45" s="103"/>
      <c r="N45" s="109"/>
      <c r="O45" s="109"/>
      <c r="P45" s="109"/>
      <c r="Q45" s="109"/>
      <c r="R45" s="60"/>
    </row>
    <row r="46" spans="1:18" ht="52.8">
      <c r="A46" s="59"/>
      <c r="B46" s="101">
        <v>35</v>
      </c>
      <c r="C46" s="101"/>
      <c r="D46" s="101" t="s">
        <v>507</v>
      </c>
      <c r="E46" s="102" t="s">
        <v>484</v>
      </c>
      <c r="F46" s="101" t="s">
        <v>124</v>
      </c>
      <c r="G46" s="101" t="s">
        <v>142</v>
      </c>
      <c r="H46" s="102" t="s">
        <v>376</v>
      </c>
      <c r="I46" s="102" t="s">
        <v>326</v>
      </c>
      <c r="J46" s="111"/>
      <c r="K46" s="111" t="s">
        <v>183</v>
      </c>
      <c r="L46" s="103"/>
      <c r="M46" s="103"/>
      <c r="N46" s="109"/>
      <c r="O46" s="109"/>
      <c r="P46" s="109"/>
      <c r="Q46" s="109"/>
      <c r="R46" s="60"/>
    </row>
    <row r="47" spans="1:18" ht="66">
      <c r="A47" s="59"/>
      <c r="B47" s="101">
        <v>36</v>
      </c>
      <c r="C47" s="101"/>
      <c r="D47" s="101" t="s">
        <v>508</v>
      </c>
      <c r="E47" s="102" t="s">
        <v>484</v>
      </c>
      <c r="F47" s="101" t="s">
        <v>124</v>
      </c>
      <c r="G47" s="101" t="s">
        <v>142</v>
      </c>
      <c r="H47" s="102" t="s">
        <v>376</v>
      </c>
      <c r="I47" s="102" t="s">
        <v>334</v>
      </c>
      <c r="J47" s="102"/>
      <c r="K47" s="102" t="s">
        <v>219</v>
      </c>
      <c r="L47" s="103"/>
      <c r="M47" s="103"/>
      <c r="N47" s="109"/>
      <c r="O47" s="109"/>
      <c r="P47" s="109"/>
      <c r="Q47" s="109"/>
      <c r="R47" s="60"/>
    </row>
    <row r="48" spans="1:18" ht="66">
      <c r="A48" s="59"/>
      <c r="B48" s="101">
        <v>37</v>
      </c>
      <c r="C48" s="101"/>
      <c r="D48" s="101" t="s">
        <v>509</v>
      </c>
      <c r="E48" s="102" t="s">
        <v>484</v>
      </c>
      <c r="F48" s="101" t="s">
        <v>124</v>
      </c>
      <c r="G48" s="101" t="s">
        <v>142</v>
      </c>
      <c r="H48" s="102" t="s">
        <v>376</v>
      </c>
      <c r="I48" s="102" t="s">
        <v>335</v>
      </c>
      <c r="J48" s="102"/>
      <c r="K48" s="102" t="s">
        <v>181</v>
      </c>
      <c r="L48" s="103"/>
      <c r="M48" s="103"/>
      <c r="N48" s="109"/>
      <c r="O48" s="109"/>
      <c r="P48" s="109"/>
      <c r="Q48" s="109"/>
      <c r="R48" s="60"/>
    </row>
    <row r="49" spans="1:18" ht="66">
      <c r="A49" s="59"/>
      <c r="B49" s="101">
        <v>38</v>
      </c>
      <c r="C49" s="101"/>
      <c r="D49" s="101" t="s">
        <v>510</v>
      </c>
      <c r="E49" s="102" t="s">
        <v>484</v>
      </c>
      <c r="F49" s="101" t="s">
        <v>124</v>
      </c>
      <c r="G49" s="101" t="s">
        <v>142</v>
      </c>
      <c r="H49" s="102" t="s">
        <v>376</v>
      </c>
      <c r="I49" s="102" t="s">
        <v>336</v>
      </c>
      <c r="J49" s="102"/>
      <c r="K49" s="102" t="s">
        <v>182</v>
      </c>
      <c r="L49" s="103"/>
      <c r="M49" s="103"/>
      <c r="N49" s="109"/>
      <c r="O49" s="109"/>
      <c r="P49" s="109"/>
      <c r="Q49" s="109"/>
      <c r="R49" s="60"/>
    </row>
    <row r="50" spans="1:18">
      <c r="A50" s="59"/>
      <c r="B50" s="101"/>
      <c r="C50" s="101"/>
      <c r="D50" s="101"/>
      <c r="E50" s="101"/>
      <c r="F50" s="101"/>
      <c r="G50" s="101"/>
      <c r="H50" s="102"/>
      <c r="I50" s="102"/>
      <c r="J50" s="101"/>
      <c r="K50" s="101"/>
      <c r="L50" s="103"/>
      <c r="M50" s="103"/>
      <c r="N50" s="109"/>
      <c r="O50" s="109"/>
      <c r="P50" s="109"/>
      <c r="Q50" s="109"/>
      <c r="R50" s="60"/>
    </row>
    <row r="51" spans="1:18">
      <c r="A51" s="59"/>
      <c r="B51" s="101"/>
      <c r="C51" s="101"/>
      <c r="D51" s="101"/>
      <c r="E51" s="101"/>
      <c r="F51" s="101"/>
      <c r="G51" s="101"/>
      <c r="H51" s="102"/>
      <c r="I51" s="102"/>
      <c r="J51" s="101"/>
      <c r="K51" s="101"/>
      <c r="L51" s="103"/>
      <c r="M51" s="103"/>
      <c r="N51" s="109"/>
      <c r="O51" s="109"/>
      <c r="P51" s="109"/>
      <c r="Q51" s="109"/>
      <c r="R51" s="60"/>
    </row>
    <row r="52" spans="1:18">
      <c r="A52" s="59"/>
      <c r="B52" s="101"/>
      <c r="C52" s="101"/>
      <c r="D52" s="101"/>
      <c r="E52" s="101"/>
      <c r="F52" s="101"/>
      <c r="G52" s="101"/>
      <c r="H52" s="102"/>
      <c r="I52" s="102"/>
      <c r="J52" s="101"/>
      <c r="K52" s="101"/>
      <c r="L52" s="103"/>
      <c r="M52" s="103"/>
      <c r="N52" s="109"/>
      <c r="O52" s="109"/>
      <c r="P52" s="109"/>
      <c r="Q52" s="109"/>
      <c r="R52" s="60"/>
    </row>
    <row r="53" spans="1:18">
      <c r="A53" s="59"/>
      <c r="B53" s="101"/>
      <c r="C53" s="101"/>
      <c r="D53" s="101"/>
      <c r="E53" s="101"/>
      <c r="F53" s="101"/>
      <c r="G53" s="101"/>
      <c r="H53" s="102"/>
      <c r="I53" s="102"/>
      <c r="J53" s="101"/>
      <c r="K53" s="101"/>
      <c r="L53" s="103"/>
      <c r="M53" s="103"/>
      <c r="N53" s="109"/>
      <c r="O53" s="109"/>
      <c r="P53" s="109"/>
      <c r="Q53" s="109"/>
      <c r="R53" s="60"/>
    </row>
    <row r="54" spans="1:18">
      <c r="A54" s="59"/>
      <c r="B54" s="101"/>
      <c r="C54" s="101"/>
      <c r="D54" s="101"/>
      <c r="E54" s="101"/>
      <c r="F54" s="101"/>
      <c r="G54" s="101"/>
      <c r="H54" s="102"/>
      <c r="I54" s="102"/>
      <c r="J54" s="101"/>
      <c r="K54" s="101"/>
      <c r="L54" s="103"/>
      <c r="M54" s="103"/>
      <c r="N54" s="109"/>
      <c r="O54" s="109"/>
      <c r="P54" s="109"/>
      <c r="Q54" s="109"/>
      <c r="R54" s="60"/>
    </row>
    <row r="55" spans="1:18">
      <c r="A55" s="59"/>
      <c r="B55" s="101"/>
      <c r="C55" s="101"/>
      <c r="D55" s="101"/>
      <c r="E55" s="101"/>
      <c r="F55" s="101"/>
      <c r="G55" s="101"/>
      <c r="H55" s="102"/>
      <c r="I55" s="102"/>
      <c r="J55" s="101"/>
      <c r="K55" s="101"/>
      <c r="L55" s="103"/>
      <c r="M55" s="103"/>
      <c r="N55" s="109"/>
      <c r="O55" s="109"/>
      <c r="P55" s="109"/>
      <c r="Q55" s="109"/>
      <c r="R55" s="60"/>
    </row>
    <row r="56" spans="1:18">
      <c r="A56" s="59"/>
      <c r="B56" s="101"/>
      <c r="C56" s="101"/>
      <c r="D56" s="101"/>
      <c r="E56" s="101"/>
      <c r="F56" s="101"/>
      <c r="G56" s="101"/>
      <c r="H56" s="102"/>
      <c r="I56" s="102"/>
      <c r="J56" s="101"/>
      <c r="K56" s="101"/>
      <c r="L56" s="103"/>
      <c r="M56" s="103"/>
      <c r="N56" s="109"/>
      <c r="O56" s="109"/>
      <c r="P56" s="109"/>
      <c r="Q56" s="109"/>
      <c r="R56" s="60"/>
    </row>
    <row r="57" spans="1:18">
      <c r="A57" s="59"/>
      <c r="B57" s="101"/>
      <c r="C57" s="101"/>
      <c r="D57" s="101"/>
      <c r="E57" s="101"/>
      <c r="F57" s="101"/>
      <c r="G57" s="101"/>
      <c r="H57" s="102"/>
      <c r="I57" s="102"/>
      <c r="J57" s="101"/>
      <c r="K57" s="101"/>
      <c r="L57" s="103"/>
      <c r="M57" s="103"/>
      <c r="N57" s="109"/>
      <c r="O57" s="109"/>
      <c r="P57" s="109"/>
      <c r="Q57" s="109"/>
      <c r="R57" s="60"/>
    </row>
    <row r="58" spans="1:18">
      <c r="A58" s="59"/>
      <c r="B58" s="101"/>
      <c r="C58" s="101"/>
      <c r="D58" s="101"/>
      <c r="E58" s="101"/>
      <c r="F58" s="101"/>
      <c r="G58" s="101"/>
      <c r="H58" s="102"/>
      <c r="I58" s="102"/>
      <c r="J58" s="101"/>
      <c r="K58" s="101"/>
      <c r="L58" s="103"/>
      <c r="M58" s="103"/>
      <c r="N58" s="109"/>
      <c r="O58" s="109"/>
      <c r="P58" s="109"/>
      <c r="Q58" s="109"/>
      <c r="R58" s="60"/>
    </row>
    <row r="59" spans="1:18">
      <c r="A59" s="59"/>
      <c r="B59" s="101"/>
      <c r="C59" s="101"/>
      <c r="D59" s="101"/>
      <c r="E59" s="101"/>
      <c r="F59" s="101"/>
      <c r="G59" s="101"/>
      <c r="H59" s="102"/>
      <c r="I59" s="102"/>
      <c r="J59" s="101"/>
      <c r="K59" s="101"/>
      <c r="L59" s="103"/>
      <c r="M59" s="103"/>
      <c r="N59" s="109"/>
      <c r="O59" s="109"/>
      <c r="P59" s="109"/>
      <c r="Q59" s="109"/>
      <c r="R59" s="60"/>
    </row>
    <row r="60" spans="1:18">
      <c r="A60" s="59"/>
      <c r="B60" s="101"/>
      <c r="C60" s="101"/>
      <c r="D60" s="101"/>
      <c r="E60" s="101"/>
      <c r="F60" s="101"/>
      <c r="G60" s="101"/>
      <c r="H60" s="102"/>
      <c r="I60" s="102"/>
      <c r="J60" s="101"/>
      <c r="K60" s="101"/>
      <c r="L60" s="103"/>
      <c r="M60" s="103"/>
      <c r="N60" s="109"/>
      <c r="O60" s="109"/>
      <c r="P60" s="109"/>
      <c r="Q60" s="109"/>
      <c r="R60" s="60"/>
    </row>
    <row r="61" spans="1:18">
      <c r="A61" s="59"/>
      <c r="B61" s="101"/>
      <c r="C61" s="101"/>
      <c r="D61" s="101"/>
      <c r="E61" s="101"/>
      <c r="F61" s="101"/>
      <c r="G61" s="101"/>
      <c r="H61" s="102"/>
      <c r="I61" s="102"/>
      <c r="J61" s="101"/>
      <c r="K61" s="101"/>
      <c r="L61" s="103"/>
      <c r="M61" s="103"/>
      <c r="N61" s="109"/>
      <c r="O61" s="109"/>
      <c r="P61" s="109"/>
      <c r="Q61" s="109"/>
      <c r="R61" s="60"/>
    </row>
    <row r="62" spans="1:18">
      <c r="A62" s="59"/>
      <c r="B62" s="101"/>
      <c r="C62" s="101"/>
      <c r="D62" s="101"/>
      <c r="E62" s="101"/>
      <c r="F62" s="101"/>
      <c r="G62" s="101"/>
      <c r="H62" s="102"/>
      <c r="I62" s="102"/>
      <c r="J62" s="101"/>
      <c r="K62" s="101"/>
      <c r="L62" s="103"/>
      <c r="M62" s="103"/>
      <c r="N62" s="109"/>
      <c r="O62" s="109"/>
      <c r="P62" s="109"/>
      <c r="Q62" s="109"/>
      <c r="R62" s="60"/>
    </row>
    <row r="63" spans="1:18">
      <c r="A63" s="59"/>
      <c r="B63" s="101"/>
      <c r="C63" s="101"/>
      <c r="D63" s="101"/>
      <c r="E63" s="101"/>
      <c r="F63" s="101"/>
      <c r="G63" s="101"/>
      <c r="H63" s="102"/>
      <c r="I63" s="102"/>
      <c r="J63" s="101"/>
      <c r="K63" s="101"/>
      <c r="L63" s="103"/>
      <c r="M63" s="103"/>
      <c r="N63" s="109"/>
      <c r="O63" s="109"/>
      <c r="P63" s="109"/>
      <c r="Q63" s="109"/>
      <c r="R63" s="60"/>
    </row>
    <row r="64" spans="1:18">
      <c r="A64" s="59"/>
      <c r="B64" s="101"/>
      <c r="C64" s="101"/>
      <c r="D64" s="101"/>
      <c r="E64" s="101"/>
      <c r="F64" s="101"/>
      <c r="G64" s="101"/>
      <c r="H64" s="102"/>
      <c r="I64" s="102"/>
      <c r="J64" s="101"/>
      <c r="K64" s="101"/>
      <c r="L64" s="103"/>
      <c r="M64" s="103"/>
      <c r="N64" s="109"/>
      <c r="O64" s="109"/>
      <c r="P64" s="109"/>
      <c r="Q64" s="109"/>
      <c r="R64" s="60"/>
    </row>
    <row r="65" spans="1:18">
      <c r="A65" s="59"/>
      <c r="B65" s="101"/>
      <c r="C65" s="101"/>
      <c r="D65" s="101"/>
      <c r="E65" s="101"/>
      <c r="F65" s="101"/>
      <c r="G65" s="101"/>
      <c r="H65" s="102"/>
      <c r="I65" s="102"/>
      <c r="J65" s="101"/>
      <c r="K65" s="101"/>
      <c r="L65" s="103"/>
      <c r="M65" s="103"/>
      <c r="N65" s="109"/>
      <c r="O65" s="109"/>
      <c r="P65" s="109"/>
      <c r="Q65" s="109"/>
      <c r="R65" s="60"/>
    </row>
    <row r="66" spans="1:18">
      <c r="A66" s="59"/>
      <c r="B66" s="101"/>
      <c r="C66" s="101"/>
      <c r="D66" s="101"/>
      <c r="E66" s="101"/>
      <c r="F66" s="101"/>
      <c r="G66" s="101"/>
      <c r="H66" s="102"/>
      <c r="I66" s="102"/>
      <c r="J66" s="101"/>
      <c r="K66" s="101"/>
      <c r="L66" s="103"/>
      <c r="M66" s="103"/>
      <c r="N66" s="109"/>
      <c r="O66" s="109"/>
      <c r="P66" s="109"/>
      <c r="Q66" s="109"/>
      <c r="R66" s="60"/>
    </row>
    <row r="67" spans="1:18">
      <c r="A67" s="59"/>
      <c r="B67" s="101"/>
      <c r="C67" s="101"/>
      <c r="D67" s="101"/>
      <c r="E67" s="101"/>
      <c r="F67" s="101"/>
      <c r="G67" s="101"/>
      <c r="H67" s="102"/>
      <c r="I67" s="102"/>
      <c r="J67" s="101"/>
      <c r="K67" s="101"/>
      <c r="L67" s="103"/>
      <c r="M67" s="103"/>
      <c r="N67" s="109"/>
      <c r="O67" s="109"/>
      <c r="P67" s="109"/>
      <c r="Q67" s="109"/>
      <c r="R67" s="60"/>
    </row>
    <row r="68" spans="1:18">
      <c r="A68" s="59"/>
      <c r="B68" s="101"/>
      <c r="C68" s="101"/>
      <c r="D68" s="101"/>
      <c r="E68" s="101"/>
      <c r="F68" s="101"/>
      <c r="G68" s="101"/>
      <c r="H68" s="102"/>
      <c r="I68" s="102"/>
      <c r="J68" s="101"/>
      <c r="K68" s="101"/>
      <c r="L68" s="103"/>
      <c r="M68" s="103"/>
      <c r="N68" s="109"/>
      <c r="O68" s="109"/>
      <c r="P68" s="109"/>
      <c r="Q68" s="109"/>
      <c r="R68" s="60"/>
    </row>
    <row r="69" spans="1:18">
      <c r="A69" s="59"/>
      <c r="B69" s="101"/>
      <c r="C69" s="101"/>
      <c r="D69" s="101"/>
      <c r="E69" s="101"/>
      <c r="F69" s="101"/>
      <c r="G69" s="101"/>
      <c r="H69" s="102"/>
      <c r="I69" s="102"/>
      <c r="J69" s="101"/>
      <c r="K69" s="101"/>
      <c r="L69" s="103"/>
      <c r="M69" s="103"/>
      <c r="N69" s="109"/>
      <c r="O69" s="109"/>
      <c r="P69" s="109"/>
      <c r="Q69" s="109"/>
      <c r="R69" s="60"/>
    </row>
    <row r="70" spans="1:18">
      <c r="A70" s="59"/>
      <c r="B70" s="101"/>
      <c r="C70" s="101"/>
      <c r="D70" s="101"/>
      <c r="E70" s="101"/>
      <c r="F70" s="101"/>
      <c r="G70" s="101"/>
      <c r="H70" s="102"/>
      <c r="I70" s="102"/>
      <c r="J70" s="101"/>
      <c r="K70" s="101"/>
      <c r="L70" s="103"/>
      <c r="M70" s="103"/>
      <c r="N70" s="109"/>
      <c r="O70" s="109"/>
      <c r="P70" s="109"/>
      <c r="Q70" s="109"/>
      <c r="R70" s="60"/>
    </row>
    <row r="71" spans="1:18">
      <c r="A71" s="59"/>
      <c r="B71" s="101"/>
      <c r="C71" s="101"/>
      <c r="D71" s="101"/>
      <c r="E71" s="101"/>
      <c r="F71" s="101"/>
      <c r="G71" s="101"/>
      <c r="H71" s="102"/>
      <c r="I71" s="102"/>
      <c r="J71" s="101"/>
      <c r="K71" s="101"/>
      <c r="L71" s="103"/>
      <c r="M71" s="103"/>
      <c r="N71" s="109"/>
      <c r="O71" s="109"/>
      <c r="P71" s="109"/>
      <c r="Q71" s="109"/>
      <c r="R71" s="60"/>
    </row>
    <row r="72" spans="1:18">
      <c r="A72" s="59"/>
      <c r="B72" s="101"/>
      <c r="C72" s="101"/>
      <c r="D72" s="101"/>
      <c r="E72" s="101"/>
      <c r="F72" s="101"/>
      <c r="G72" s="101"/>
      <c r="H72" s="102"/>
      <c r="I72" s="102"/>
      <c r="J72" s="101"/>
      <c r="K72" s="101"/>
      <c r="L72" s="103"/>
      <c r="M72" s="103"/>
      <c r="N72" s="109"/>
      <c r="O72" s="109"/>
      <c r="P72" s="109"/>
      <c r="Q72" s="109"/>
      <c r="R72" s="60"/>
    </row>
    <row r="73" spans="1:18">
      <c r="A73" s="59"/>
      <c r="B73" s="101"/>
      <c r="C73" s="101"/>
      <c r="D73" s="101"/>
      <c r="E73" s="101"/>
      <c r="F73" s="101"/>
      <c r="G73" s="101"/>
      <c r="H73" s="102"/>
      <c r="I73" s="102"/>
      <c r="J73" s="101"/>
      <c r="K73" s="101"/>
      <c r="L73" s="103"/>
      <c r="M73" s="103"/>
      <c r="N73" s="109"/>
      <c r="O73" s="109"/>
      <c r="P73" s="109"/>
      <c r="Q73" s="109"/>
      <c r="R73" s="60"/>
    </row>
    <row r="74" spans="1:18">
      <c r="A74" s="59"/>
      <c r="B74" s="101"/>
      <c r="C74" s="101"/>
      <c r="D74" s="101"/>
      <c r="E74" s="101"/>
      <c r="F74" s="101"/>
      <c r="G74" s="101"/>
      <c r="H74" s="102"/>
      <c r="I74" s="102"/>
      <c r="J74" s="101"/>
      <c r="K74" s="101"/>
      <c r="L74" s="103"/>
      <c r="M74" s="103"/>
      <c r="N74" s="109"/>
      <c r="O74" s="109"/>
      <c r="P74" s="109"/>
      <c r="Q74" s="109"/>
      <c r="R74" s="60"/>
    </row>
    <row r="75" spans="1:18">
      <c r="A75" s="59"/>
      <c r="B75" s="101"/>
      <c r="C75" s="101"/>
      <c r="D75" s="101"/>
      <c r="E75" s="101"/>
      <c r="F75" s="101"/>
      <c r="G75" s="101"/>
      <c r="H75" s="102"/>
      <c r="I75" s="102"/>
      <c r="J75" s="101"/>
      <c r="K75" s="101"/>
      <c r="L75" s="103"/>
      <c r="M75" s="103"/>
      <c r="N75" s="109"/>
      <c r="O75" s="109"/>
      <c r="P75" s="109"/>
      <c r="Q75" s="109"/>
      <c r="R75" s="60"/>
    </row>
    <row r="76" spans="1:18">
      <c r="A76" s="59"/>
      <c r="B76" s="101"/>
      <c r="C76" s="101"/>
      <c r="D76" s="101"/>
      <c r="E76" s="101"/>
      <c r="F76" s="101"/>
      <c r="G76" s="101"/>
      <c r="H76" s="102"/>
      <c r="I76" s="102"/>
      <c r="J76" s="101"/>
      <c r="K76" s="101"/>
      <c r="L76" s="103"/>
      <c r="M76" s="103"/>
      <c r="N76" s="109"/>
      <c r="O76" s="109"/>
      <c r="P76" s="109"/>
      <c r="Q76" s="109"/>
      <c r="R76" s="60"/>
    </row>
    <row r="77" spans="1:18">
      <c r="A77" s="59"/>
      <c r="B77" s="101"/>
      <c r="C77" s="101"/>
      <c r="D77" s="101"/>
      <c r="E77" s="101"/>
      <c r="F77" s="101"/>
      <c r="G77" s="101"/>
      <c r="H77" s="102"/>
      <c r="I77" s="102"/>
      <c r="J77" s="101"/>
      <c r="K77" s="101"/>
      <c r="L77" s="103"/>
      <c r="M77" s="103"/>
      <c r="N77" s="109"/>
      <c r="O77" s="109"/>
      <c r="P77" s="109"/>
      <c r="Q77" s="109"/>
      <c r="R77" s="60"/>
    </row>
    <row r="78" spans="1:18">
      <c r="A78" s="59"/>
      <c r="B78" s="101"/>
      <c r="C78" s="101"/>
      <c r="D78" s="101"/>
      <c r="E78" s="101"/>
      <c r="F78" s="101"/>
      <c r="G78" s="101"/>
      <c r="H78" s="102"/>
      <c r="I78" s="102"/>
      <c r="J78" s="101"/>
      <c r="K78" s="101"/>
      <c r="L78" s="103"/>
      <c r="M78" s="103"/>
      <c r="N78" s="109"/>
      <c r="O78" s="109"/>
      <c r="P78" s="109"/>
      <c r="Q78" s="109"/>
      <c r="R78" s="60"/>
    </row>
    <row r="79" spans="1:18">
      <c r="A79" s="59"/>
      <c r="B79" s="101"/>
      <c r="C79" s="101"/>
      <c r="D79" s="101"/>
      <c r="E79" s="101"/>
      <c r="F79" s="101"/>
      <c r="G79" s="101"/>
      <c r="H79" s="102"/>
      <c r="I79" s="102"/>
      <c r="J79" s="101"/>
      <c r="K79" s="101"/>
      <c r="L79" s="103"/>
      <c r="M79" s="103"/>
      <c r="N79" s="109"/>
      <c r="O79" s="109"/>
      <c r="P79" s="109"/>
      <c r="Q79" s="109"/>
      <c r="R79" s="60"/>
    </row>
    <row r="80" spans="1:18">
      <c r="A80" s="59"/>
      <c r="B80" s="101"/>
      <c r="C80" s="101"/>
      <c r="D80" s="101"/>
      <c r="E80" s="101"/>
      <c r="F80" s="101"/>
      <c r="G80" s="101"/>
      <c r="H80" s="102"/>
      <c r="I80" s="102"/>
      <c r="J80" s="101"/>
      <c r="K80" s="101"/>
      <c r="L80" s="103"/>
      <c r="M80" s="103"/>
      <c r="N80" s="109"/>
      <c r="O80" s="109"/>
      <c r="P80" s="109"/>
      <c r="Q80" s="109"/>
      <c r="R80" s="60"/>
    </row>
    <row r="81" spans="1:18">
      <c r="A81" s="59"/>
      <c r="B81" s="101"/>
      <c r="C81" s="101"/>
      <c r="D81" s="101"/>
      <c r="E81" s="106"/>
      <c r="F81" s="107"/>
      <c r="G81" s="107"/>
      <c r="H81" s="107"/>
      <c r="I81" s="108"/>
      <c r="J81" s="106"/>
      <c r="K81" s="106"/>
      <c r="L81" s="105"/>
      <c r="M81" s="105"/>
      <c r="N81" s="104"/>
      <c r="O81" s="104"/>
      <c r="P81" s="104"/>
      <c r="Q81" s="104"/>
      <c r="R81" s="60"/>
    </row>
    <row r="82" spans="1:18">
      <c r="B82" s="65"/>
      <c r="C82" s="65"/>
      <c r="D82" s="65"/>
      <c r="E82" s="65"/>
      <c r="F82" s="65"/>
      <c r="G82" s="65"/>
      <c r="H82" s="65"/>
      <c r="I82" s="65"/>
      <c r="J82" s="66"/>
      <c r="K82" s="66"/>
      <c r="L82" s="66"/>
      <c r="M82" s="66"/>
      <c r="N82" s="66"/>
      <c r="O82" s="66"/>
      <c r="P82" s="66"/>
      <c r="Q82" s="66"/>
    </row>
  </sheetData>
  <mergeCells count="7">
    <mergeCell ref="C2:K2"/>
    <mergeCell ref="B7:K7"/>
    <mergeCell ref="B6:K6"/>
    <mergeCell ref="B8:K8"/>
    <mergeCell ref="B9:K9"/>
    <mergeCell ref="B4:K4"/>
    <mergeCell ref="B5:K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F348-57EC-437F-B23E-C5730C1F5DD5}">
  <sheetPr codeName="Sheet6">
    <pageSetUpPr fitToPage="1"/>
  </sheetPr>
  <dimension ref="A1:R55"/>
  <sheetViews>
    <sheetView zoomScaleNormal="100" workbookViewId="0">
      <selection activeCell="B7" sqref="B7:K7"/>
    </sheetView>
  </sheetViews>
  <sheetFormatPr defaultColWidth="8.8984375" defaultRowHeight="15.6"/>
  <cols>
    <col min="1" max="1" width="2.69921875" style="54" customWidth="1"/>
    <col min="2" max="2" width="6.59765625" style="55" customWidth="1"/>
    <col min="3" max="4" width="10" style="55" customWidth="1"/>
    <col min="5" max="5" width="13.59765625" style="55" customWidth="1"/>
    <col min="6" max="7" width="5.69921875" style="55" customWidth="1"/>
    <col min="8" max="8" width="18.3984375" style="55" customWidth="1"/>
    <col min="9" max="9" width="25.59765625" style="55" customWidth="1"/>
    <col min="10" max="10" width="25" style="54" customWidth="1"/>
    <col min="11" max="11" width="31.8984375" style="54" customWidth="1"/>
    <col min="12" max="13" width="8.69921875" style="54" customWidth="1"/>
    <col min="14" max="14" width="9.09765625" style="54" customWidth="1"/>
    <col min="15" max="15" width="30.69921875" style="54" customWidth="1"/>
    <col min="16" max="16" width="10.59765625" style="54" bestFit="1" customWidth="1"/>
    <col min="17" max="16384" width="8.8984375" style="54"/>
  </cols>
  <sheetData>
    <row r="1" spans="1:18" ht="66" customHeight="1">
      <c r="B1" s="56"/>
      <c r="C1" s="56"/>
      <c r="D1" s="56"/>
      <c r="E1" s="56"/>
      <c r="F1" s="57"/>
      <c r="G1" s="57"/>
      <c r="H1" s="57"/>
      <c r="I1" s="57"/>
      <c r="J1" s="58"/>
      <c r="K1" s="58"/>
    </row>
    <row r="2" spans="1:18" ht="58.95" customHeight="1">
      <c r="A2" s="59"/>
      <c r="B2" s="120" t="s">
        <v>212</v>
      </c>
      <c r="C2" s="154" t="s">
        <v>210</v>
      </c>
      <c r="D2" s="155"/>
      <c r="E2" s="155"/>
      <c r="F2" s="155"/>
      <c r="G2" s="155"/>
      <c r="H2" s="155"/>
      <c r="I2" s="155"/>
      <c r="J2" s="155"/>
      <c r="K2" s="156"/>
      <c r="L2" s="62"/>
      <c r="M2" s="63"/>
      <c r="N2" s="63"/>
      <c r="O2" s="63"/>
      <c r="P2" s="63"/>
    </row>
    <row r="3" spans="1:18" ht="7.5" customHeight="1">
      <c r="B3" s="92"/>
      <c r="C3" s="92"/>
      <c r="D3" s="92"/>
      <c r="E3" s="92"/>
      <c r="F3" s="82"/>
      <c r="G3" s="82"/>
      <c r="H3" s="82"/>
      <c r="I3" s="82"/>
      <c r="J3" s="83"/>
      <c r="K3" s="83"/>
    </row>
    <row r="4" spans="1:18">
      <c r="A4" s="59"/>
      <c r="B4" s="159" t="s">
        <v>113</v>
      </c>
      <c r="C4" s="159"/>
      <c r="D4" s="159"/>
      <c r="E4" s="159"/>
      <c r="F4" s="159"/>
      <c r="G4" s="159"/>
      <c r="H4" s="159"/>
      <c r="I4" s="159"/>
      <c r="J4" s="159"/>
      <c r="K4" s="159"/>
      <c r="L4" s="60"/>
    </row>
    <row r="5" spans="1:18" s="63" customFormat="1" ht="28.8" customHeight="1">
      <c r="A5" s="61"/>
      <c r="B5" s="157" t="s">
        <v>188</v>
      </c>
      <c r="C5" s="157"/>
      <c r="D5" s="157"/>
      <c r="E5" s="158"/>
      <c r="F5" s="158"/>
      <c r="G5" s="158"/>
      <c r="H5" s="158"/>
      <c r="I5" s="158"/>
      <c r="J5" s="158"/>
      <c r="K5" s="158"/>
      <c r="L5" s="62"/>
    </row>
    <row r="6" spans="1:18">
      <c r="A6" s="59"/>
      <c r="B6" s="159" t="s">
        <v>102</v>
      </c>
      <c r="C6" s="159"/>
      <c r="D6" s="159"/>
      <c r="E6" s="159"/>
      <c r="F6" s="159"/>
      <c r="G6" s="159"/>
      <c r="H6" s="159"/>
      <c r="I6" s="159"/>
      <c r="J6" s="159"/>
      <c r="K6" s="159"/>
      <c r="L6" s="60"/>
    </row>
    <row r="7" spans="1:18" ht="93" customHeight="1">
      <c r="A7" s="59"/>
      <c r="B7" s="157" t="s">
        <v>543</v>
      </c>
      <c r="C7" s="157"/>
      <c r="D7" s="157"/>
      <c r="E7" s="158"/>
      <c r="F7" s="158"/>
      <c r="G7" s="158"/>
      <c r="H7" s="158"/>
      <c r="I7" s="158"/>
      <c r="J7" s="158"/>
      <c r="K7" s="158"/>
      <c r="L7" s="60"/>
    </row>
    <row r="8" spans="1:18">
      <c r="A8" s="59"/>
      <c r="B8" s="159" t="s">
        <v>114</v>
      </c>
      <c r="C8" s="159"/>
      <c r="D8" s="159"/>
      <c r="E8" s="159"/>
      <c r="F8" s="159"/>
      <c r="G8" s="159"/>
      <c r="H8" s="159"/>
      <c r="I8" s="159"/>
      <c r="J8" s="159"/>
      <c r="K8" s="159"/>
      <c r="L8" s="60"/>
    </row>
    <row r="9" spans="1:18" ht="87.75" customHeight="1">
      <c r="A9" s="59"/>
      <c r="B9" s="157" t="s">
        <v>286</v>
      </c>
      <c r="C9" s="158"/>
      <c r="D9" s="158"/>
      <c r="E9" s="158"/>
      <c r="F9" s="158"/>
      <c r="G9" s="158"/>
      <c r="H9" s="158"/>
      <c r="I9" s="158"/>
      <c r="J9" s="158"/>
      <c r="K9" s="158"/>
      <c r="L9" s="60"/>
    </row>
    <row r="10" spans="1:18" ht="10.050000000000001" customHeight="1">
      <c r="B10" s="92"/>
      <c r="C10" s="92"/>
      <c r="D10" s="92"/>
      <c r="E10" s="92"/>
      <c r="F10" s="82"/>
      <c r="G10" s="82"/>
      <c r="H10" s="82"/>
      <c r="I10" s="82"/>
      <c r="J10" s="83"/>
      <c r="K10" s="83"/>
      <c r="L10" s="58"/>
      <c r="M10" s="58"/>
      <c r="N10" s="58"/>
      <c r="O10" s="58"/>
      <c r="P10" s="58"/>
      <c r="Q10" s="58"/>
    </row>
    <row r="11" spans="1:18">
      <c r="A11" s="59"/>
      <c r="B11" s="100" t="s">
        <v>167</v>
      </c>
      <c r="C11" s="100" t="s">
        <v>327</v>
      </c>
      <c r="D11" s="100" t="s">
        <v>61</v>
      </c>
      <c r="E11" s="100" t="s">
        <v>116</v>
      </c>
      <c r="F11" s="100" t="s">
        <v>103</v>
      </c>
      <c r="G11" s="100" t="s">
        <v>104</v>
      </c>
      <c r="H11" s="100" t="s">
        <v>105</v>
      </c>
      <c r="I11" s="100" t="s">
        <v>117</v>
      </c>
      <c r="J11" s="100" t="s">
        <v>106</v>
      </c>
      <c r="K11" s="100" t="s">
        <v>107</v>
      </c>
      <c r="L11" s="64" t="s">
        <v>108</v>
      </c>
      <c r="M11" s="64" t="s">
        <v>109</v>
      </c>
      <c r="N11" s="64" t="s">
        <v>110</v>
      </c>
      <c r="O11" s="64" t="s">
        <v>111</v>
      </c>
      <c r="P11" s="64" t="s">
        <v>115</v>
      </c>
      <c r="Q11" s="64" t="s">
        <v>112</v>
      </c>
      <c r="R11" s="60"/>
    </row>
    <row r="12" spans="1:18" ht="26.4">
      <c r="A12" s="59"/>
      <c r="B12" s="93">
        <v>1</v>
      </c>
      <c r="C12" s="93" t="s">
        <v>125</v>
      </c>
      <c r="D12" s="93" t="s">
        <v>522</v>
      </c>
      <c r="E12" s="113" t="s">
        <v>513</v>
      </c>
      <c r="F12" s="93" t="s">
        <v>135</v>
      </c>
      <c r="G12" s="93" t="s">
        <v>136</v>
      </c>
      <c r="H12" s="113" t="s">
        <v>385</v>
      </c>
      <c r="I12" s="113" t="s">
        <v>196</v>
      </c>
      <c r="J12" s="113" t="s">
        <v>213</v>
      </c>
      <c r="K12" s="110" t="s">
        <v>201</v>
      </c>
      <c r="L12" s="94"/>
      <c r="M12" s="94"/>
      <c r="N12" s="74"/>
      <c r="O12" s="74"/>
      <c r="P12" s="74"/>
      <c r="Q12" s="74"/>
      <c r="R12" s="60"/>
    </row>
    <row r="13" spans="1:18" ht="52.8">
      <c r="A13" s="59"/>
      <c r="B13" s="93">
        <v>2</v>
      </c>
      <c r="C13" s="93"/>
      <c r="D13" s="93" t="s">
        <v>356</v>
      </c>
      <c r="E13" s="113" t="s">
        <v>513</v>
      </c>
      <c r="F13" s="93" t="s">
        <v>135</v>
      </c>
      <c r="G13" s="93" t="s">
        <v>142</v>
      </c>
      <c r="H13" s="113" t="s">
        <v>385</v>
      </c>
      <c r="I13" s="113" t="s">
        <v>387</v>
      </c>
      <c r="J13" s="110"/>
      <c r="K13" s="110" t="s">
        <v>329</v>
      </c>
      <c r="L13" s="94"/>
      <c r="M13" s="94"/>
      <c r="N13" s="74"/>
      <c r="O13" s="74"/>
      <c r="P13" s="74"/>
      <c r="Q13" s="74"/>
      <c r="R13" s="60"/>
    </row>
    <row r="14" spans="1:18" ht="52.8">
      <c r="A14" s="59"/>
      <c r="B14" s="93">
        <v>3</v>
      </c>
      <c r="C14" s="93"/>
      <c r="D14" s="93" t="s">
        <v>357</v>
      </c>
      <c r="E14" s="113" t="s">
        <v>513</v>
      </c>
      <c r="F14" s="93" t="s">
        <v>125</v>
      </c>
      <c r="G14" s="93" t="s">
        <v>138</v>
      </c>
      <c r="H14" s="113" t="s">
        <v>385</v>
      </c>
      <c r="I14" s="102" t="s">
        <v>380</v>
      </c>
      <c r="J14" s="113"/>
      <c r="K14" s="113" t="s">
        <v>379</v>
      </c>
      <c r="L14" s="94"/>
      <c r="M14" s="94"/>
      <c r="N14" s="112"/>
      <c r="O14" s="112"/>
      <c r="P14" s="112"/>
      <c r="Q14" s="112"/>
      <c r="R14" s="60"/>
    </row>
    <row r="15" spans="1:18" ht="39.6">
      <c r="A15" s="59"/>
      <c r="B15" s="93">
        <v>4</v>
      </c>
      <c r="C15" s="93"/>
      <c r="D15" s="93" t="s">
        <v>358</v>
      </c>
      <c r="E15" s="113" t="s">
        <v>513</v>
      </c>
      <c r="F15" s="93" t="s">
        <v>135</v>
      </c>
      <c r="G15" s="93" t="s">
        <v>136</v>
      </c>
      <c r="H15" s="113" t="s">
        <v>345</v>
      </c>
      <c r="I15" s="113" t="s">
        <v>382</v>
      </c>
      <c r="J15" s="110"/>
      <c r="K15" s="110" t="s">
        <v>197</v>
      </c>
      <c r="L15" s="94"/>
      <c r="M15" s="94"/>
      <c r="N15" s="74"/>
      <c r="O15" s="74"/>
      <c r="P15" s="74"/>
      <c r="Q15" s="74"/>
      <c r="R15" s="60"/>
    </row>
    <row r="16" spans="1:18" ht="39.6">
      <c r="A16" s="59"/>
      <c r="B16" s="93">
        <v>5</v>
      </c>
      <c r="C16" s="93"/>
      <c r="D16" s="93" t="s">
        <v>359</v>
      </c>
      <c r="E16" s="113" t="s">
        <v>513</v>
      </c>
      <c r="F16" s="93" t="s">
        <v>125</v>
      </c>
      <c r="G16" s="93" t="s">
        <v>142</v>
      </c>
      <c r="H16" s="113" t="s">
        <v>345</v>
      </c>
      <c r="I16" s="113" t="s">
        <v>198</v>
      </c>
      <c r="J16" s="113"/>
      <c r="K16" s="113" t="s">
        <v>178</v>
      </c>
      <c r="L16" s="94"/>
      <c r="M16" s="94"/>
      <c r="N16" s="112"/>
      <c r="O16" s="112"/>
      <c r="P16" s="112"/>
      <c r="Q16" s="112"/>
      <c r="R16" s="60"/>
    </row>
    <row r="17" spans="1:18" ht="39.6">
      <c r="A17" s="59"/>
      <c r="B17" s="93">
        <v>6</v>
      </c>
      <c r="C17" s="93" t="s">
        <v>328</v>
      </c>
      <c r="D17" s="93" t="s">
        <v>360</v>
      </c>
      <c r="E17" s="113" t="s">
        <v>511</v>
      </c>
      <c r="F17" s="93" t="s">
        <v>141</v>
      </c>
      <c r="G17" s="93" t="s">
        <v>142</v>
      </c>
      <c r="H17" s="113" t="s">
        <v>204</v>
      </c>
      <c r="I17" s="113" t="s">
        <v>206</v>
      </c>
      <c r="J17" s="110"/>
      <c r="K17" s="113" t="s">
        <v>221</v>
      </c>
      <c r="L17" s="94"/>
      <c r="M17" s="94"/>
      <c r="N17" s="74"/>
      <c r="O17" s="74"/>
      <c r="P17" s="74"/>
      <c r="Q17" s="74"/>
      <c r="R17" s="60"/>
    </row>
    <row r="18" spans="1:18" ht="26.4">
      <c r="A18" s="59"/>
      <c r="B18" s="93">
        <v>7</v>
      </c>
      <c r="C18" s="93"/>
      <c r="D18" s="93" t="s">
        <v>361</v>
      </c>
      <c r="E18" s="113" t="s">
        <v>511</v>
      </c>
      <c r="F18" s="93" t="s">
        <v>141</v>
      </c>
      <c r="G18" s="93" t="s">
        <v>142</v>
      </c>
      <c r="H18" s="113" t="s">
        <v>204</v>
      </c>
      <c r="I18" s="113" t="s">
        <v>206</v>
      </c>
      <c r="J18" s="110"/>
      <c r="K18" s="113" t="s">
        <v>200</v>
      </c>
      <c r="L18" s="94"/>
      <c r="M18" s="94"/>
      <c r="N18" s="112"/>
      <c r="O18" s="112"/>
      <c r="P18" s="112"/>
      <c r="Q18" s="112"/>
      <c r="R18" s="60"/>
    </row>
    <row r="19" spans="1:18" ht="26.4">
      <c r="A19" s="59"/>
      <c r="B19" s="93">
        <v>8</v>
      </c>
      <c r="C19" s="93"/>
      <c r="D19" s="93" t="s">
        <v>362</v>
      </c>
      <c r="E19" s="113" t="s">
        <v>511</v>
      </c>
      <c r="F19" s="93" t="s">
        <v>141</v>
      </c>
      <c r="G19" s="93" t="s">
        <v>142</v>
      </c>
      <c r="H19" s="113" t="s">
        <v>204</v>
      </c>
      <c r="I19" s="113" t="s">
        <v>206</v>
      </c>
      <c r="J19" s="110"/>
      <c r="K19" s="113" t="s">
        <v>199</v>
      </c>
      <c r="L19" s="94"/>
      <c r="M19" s="94"/>
      <c r="N19" s="112"/>
      <c r="O19" s="112"/>
      <c r="P19" s="112"/>
      <c r="Q19" s="112"/>
      <c r="R19" s="60"/>
    </row>
    <row r="20" spans="1:18" ht="39.6">
      <c r="A20" s="59"/>
      <c r="B20" s="93">
        <v>9</v>
      </c>
      <c r="C20" s="93"/>
      <c r="D20" s="93" t="s">
        <v>363</v>
      </c>
      <c r="E20" s="113" t="s">
        <v>511</v>
      </c>
      <c r="F20" s="93" t="s">
        <v>141</v>
      </c>
      <c r="G20" s="93" t="s">
        <v>142</v>
      </c>
      <c r="H20" s="113" t="s">
        <v>204</v>
      </c>
      <c r="I20" s="102" t="s">
        <v>383</v>
      </c>
      <c r="J20" s="102"/>
      <c r="K20" s="113" t="s">
        <v>180</v>
      </c>
      <c r="L20" s="94"/>
      <c r="M20" s="94"/>
      <c r="N20" s="112"/>
      <c r="O20" s="112"/>
      <c r="P20" s="112"/>
      <c r="Q20" s="112"/>
      <c r="R20" s="60"/>
    </row>
    <row r="21" spans="1:18" ht="26.4">
      <c r="A21" s="59"/>
      <c r="B21" s="93">
        <v>10</v>
      </c>
      <c r="C21" s="93"/>
      <c r="D21" s="93" t="s">
        <v>364</v>
      </c>
      <c r="E21" s="113" t="s">
        <v>511</v>
      </c>
      <c r="F21" s="93" t="s">
        <v>141</v>
      </c>
      <c r="G21" s="93" t="s">
        <v>142</v>
      </c>
      <c r="H21" s="113" t="s">
        <v>205</v>
      </c>
      <c r="I21" s="113" t="s">
        <v>207</v>
      </c>
      <c r="J21" s="113"/>
      <c r="K21" s="110" t="s">
        <v>202</v>
      </c>
      <c r="L21" s="94"/>
      <c r="M21" s="94"/>
      <c r="N21" s="74"/>
      <c r="O21" s="74"/>
      <c r="P21" s="74"/>
      <c r="Q21" s="74"/>
      <c r="R21" s="60"/>
    </row>
    <row r="22" spans="1:18" ht="39.6">
      <c r="A22" s="59"/>
      <c r="B22" s="93">
        <v>11</v>
      </c>
      <c r="C22" s="93"/>
      <c r="D22" s="93" t="s">
        <v>365</v>
      </c>
      <c r="E22" s="113" t="s">
        <v>511</v>
      </c>
      <c r="F22" s="93" t="s">
        <v>141</v>
      </c>
      <c r="G22" s="93" t="s">
        <v>142</v>
      </c>
      <c r="H22" s="113" t="s">
        <v>205</v>
      </c>
      <c r="I22" s="113" t="s">
        <v>384</v>
      </c>
      <c r="J22" s="113"/>
      <c r="K22" s="113" t="s">
        <v>203</v>
      </c>
      <c r="L22" s="94"/>
      <c r="M22" s="94"/>
      <c r="N22" s="112"/>
      <c r="O22" s="112"/>
      <c r="P22" s="112"/>
      <c r="Q22" s="112"/>
      <c r="R22" s="60"/>
    </row>
    <row r="23" spans="1:18" ht="52.8">
      <c r="A23" s="59"/>
      <c r="B23" s="93">
        <v>12</v>
      </c>
      <c r="C23" s="93"/>
      <c r="D23" s="93" t="s">
        <v>366</v>
      </c>
      <c r="E23" s="113" t="s">
        <v>511</v>
      </c>
      <c r="F23" s="93" t="s">
        <v>141</v>
      </c>
      <c r="G23" s="93" t="s">
        <v>142</v>
      </c>
      <c r="H23" s="113" t="s">
        <v>205</v>
      </c>
      <c r="I23" s="113" t="s">
        <v>208</v>
      </c>
      <c r="J23" s="113"/>
      <c r="K23" s="113" t="s">
        <v>381</v>
      </c>
      <c r="L23" s="94"/>
      <c r="M23" s="94"/>
      <c r="N23" s="112"/>
      <c r="O23" s="112"/>
      <c r="P23" s="112"/>
      <c r="Q23" s="112"/>
      <c r="R23" s="60"/>
    </row>
    <row r="24" spans="1:18" ht="39.6">
      <c r="A24" s="59"/>
      <c r="B24" s="93">
        <v>13</v>
      </c>
      <c r="C24" s="93"/>
      <c r="D24" s="93" t="s">
        <v>367</v>
      </c>
      <c r="E24" s="113" t="s">
        <v>511</v>
      </c>
      <c r="F24" s="93" t="s">
        <v>124</v>
      </c>
      <c r="G24" s="93" t="s">
        <v>142</v>
      </c>
      <c r="H24" s="113" t="s">
        <v>204</v>
      </c>
      <c r="I24" s="113" t="s">
        <v>206</v>
      </c>
      <c r="J24" s="110"/>
      <c r="K24" s="113" t="s">
        <v>221</v>
      </c>
      <c r="L24" s="94"/>
      <c r="M24" s="94"/>
      <c r="N24" s="74"/>
      <c r="O24" s="74"/>
      <c r="P24" s="74"/>
      <c r="Q24" s="74"/>
      <c r="R24" s="60"/>
    </row>
    <row r="25" spans="1:18" ht="26.4">
      <c r="A25" s="59"/>
      <c r="B25" s="93">
        <v>14</v>
      </c>
      <c r="C25" s="93"/>
      <c r="D25" s="93" t="s">
        <v>523</v>
      </c>
      <c r="E25" s="113" t="s">
        <v>511</v>
      </c>
      <c r="F25" s="93" t="s">
        <v>124</v>
      </c>
      <c r="G25" s="93" t="s">
        <v>142</v>
      </c>
      <c r="H25" s="113" t="s">
        <v>204</v>
      </c>
      <c r="I25" s="113" t="s">
        <v>206</v>
      </c>
      <c r="J25" s="110"/>
      <c r="K25" s="113" t="s">
        <v>200</v>
      </c>
      <c r="L25" s="94"/>
      <c r="M25" s="94"/>
      <c r="N25" s="112"/>
      <c r="O25" s="112"/>
      <c r="P25" s="112"/>
      <c r="Q25" s="112"/>
      <c r="R25" s="60"/>
    </row>
    <row r="26" spans="1:18" ht="26.4">
      <c r="A26" s="59"/>
      <c r="B26" s="93">
        <v>15</v>
      </c>
      <c r="C26" s="93"/>
      <c r="D26" s="93" t="s">
        <v>524</v>
      </c>
      <c r="E26" s="113" t="s">
        <v>511</v>
      </c>
      <c r="F26" s="93" t="s">
        <v>124</v>
      </c>
      <c r="G26" s="93" t="s">
        <v>142</v>
      </c>
      <c r="H26" s="113" t="s">
        <v>204</v>
      </c>
      <c r="I26" s="113" t="s">
        <v>206</v>
      </c>
      <c r="J26" s="110"/>
      <c r="K26" s="113" t="s">
        <v>199</v>
      </c>
      <c r="L26" s="94"/>
      <c r="M26" s="94"/>
      <c r="N26" s="74"/>
      <c r="O26" s="74"/>
      <c r="P26" s="74"/>
      <c r="Q26" s="74"/>
      <c r="R26" s="60"/>
    </row>
    <row r="27" spans="1:18" ht="39.6">
      <c r="A27" s="59"/>
      <c r="B27" s="93">
        <v>16</v>
      </c>
      <c r="C27" s="93"/>
      <c r="D27" s="93" t="s">
        <v>525</v>
      </c>
      <c r="E27" s="113" t="s">
        <v>511</v>
      </c>
      <c r="F27" s="93" t="s">
        <v>124</v>
      </c>
      <c r="G27" s="93" t="s">
        <v>142</v>
      </c>
      <c r="H27" s="113" t="s">
        <v>204</v>
      </c>
      <c r="I27" s="102" t="s">
        <v>383</v>
      </c>
      <c r="J27" s="102"/>
      <c r="K27" s="113" t="s">
        <v>180</v>
      </c>
      <c r="L27" s="94"/>
      <c r="M27" s="94"/>
      <c r="N27" s="74"/>
      <c r="O27" s="74"/>
      <c r="P27" s="74"/>
      <c r="Q27" s="74"/>
      <c r="R27" s="60"/>
    </row>
    <row r="28" spans="1:18" ht="26.4">
      <c r="A28" s="59"/>
      <c r="B28" s="93">
        <v>17</v>
      </c>
      <c r="C28" s="93"/>
      <c r="D28" s="93" t="s">
        <v>526</v>
      </c>
      <c r="E28" s="113" t="s">
        <v>511</v>
      </c>
      <c r="F28" s="93" t="s">
        <v>124</v>
      </c>
      <c r="G28" s="93" t="s">
        <v>142</v>
      </c>
      <c r="H28" s="113" t="s">
        <v>205</v>
      </c>
      <c r="I28" s="113" t="s">
        <v>207</v>
      </c>
      <c r="J28" s="113"/>
      <c r="K28" s="110" t="s">
        <v>202</v>
      </c>
      <c r="L28" s="94"/>
      <c r="M28" s="94"/>
      <c r="N28" s="74"/>
      <c r="O28" s="74"/>
      <c r="P28" s="74"/>
      <c r="Q28" s="74"/>
      <c r="R28" s="60"/>
    </row>
    <row r="29" spans="1:18" ht="39.6">
      <c r="A29" s="59"/>
      <c r="B29" s="93">
        <v>18</v>
      </c>
      <c r="C29" s="93"/>
      <c r="D29" s="93" t="s">
        <v>527</v>
      </c>
      <c r="E29" s="113" t="s">
        <v>511</v>
      </c>
      <c r="F29" s="93" t="s">
        <v>124</v>
      </c>
      <c r="G29" s="93" t="s">
        <v>142</v>
      </c>
      <c r="H29" s="113" t="s">
        <v>205</v>
      </c>
      <c r="I29" s="113" t="s">
        <v>384</v>
      </c>
      <c r="J29" s="113"/>
      <c r="K29" s="113" t="s">
        <v>203</v>
      </c>
      <c r="L29" s="94"/>
      <c r="M29" s="94"/>
      <c r="N29" s="74"/>
      <c r="O29" s="74"/>
      <c r="P29" s="74"/>
      <c r="Q29" s="74"/>
      <c r="R29" s="60"/>
    </row>
    <row r="30" spans="1:18" ht="52.8">
      <c r="A30" s="59"/>
      <c r="B30" s="93">
        <v>19</v>
      </c>
      <c r="C30" s="93"/>
      <c r="D30" s="93" t="s">
        <v>528</v>
      </c>
      <c r="E30" s="113" t="s">
        <v>511</v>
      </c>
      <c r="F30" s="93" t="s">
        <v>124</v>
      </c>
      <c r="G30" s="93" t="s">
        <v>142</v>
      </c>
      <c r="H30" s="113" t="s">
        <v>205</v>
      </c>
      <c r="I30" s="113" t="s">
        <v>208</v>
      </c>
      <c r="J30" s="113"/>
      <c r="K30" s="113" t="s">
        <v>381</v>
      </c>
      <c r="L30" s="94"/>
      <c r="M30" s="94"/>
      <c r="N30" s="74"/>
      <c r="O30" s="74"/>
      <c r="P30" s="74"/>
      <c r="Q30" s="74"/>
      <c r="R30" s="60"/>
    </row>
    <row r="31" spans="1:18" ht="39.6">
      <c r="A31" s="59"/>
      <c r="B31" s="93">
        <v>20</v>
      </c>
      <c r="C31" s="93" t="s">
        <v>337</v>
      </c>
      <c r="D31" s="93" t="s">
        <v>529</v>
      </c>
      <c r="E31" s="113" t="s">
        <v>511</v>
      </c>
      <c r="F31" s="93" t="s">
        <v>141</v>
      </c>
      <c r="G31" s="93" t="s">
        <v>142</v>
      </c>
      <c r="H31" s="113" t="s">
        <v>204</v>
      </c>
      <c r="I31" s="113" t="s">
        <v>206</v>
      </c>
      <c r="J31" s="110"/>
      <c r="K31" s="113" t="s">
        <v>221</v>
      </c>
      <c r="L31" s="94"/>
      <c r="M31" s="94"/>
      <c r="N31" s="74"/>
      <c r="O31" s="74"/>
      <c r="P31" s="74"/>
      <c r="Q31" s="74"/>
      <c r="R31" s="60"/>
    </row>
    <row r="32" spans="1:18" ht="26.4">
      <c r="A32" s="59"/>
      <c r="B32" s="93"/>
      <c r="C32" s="93"/>
      <c r="D32" s="93" t="s">
        <v>530</v>
      </c>
      <c r="E32" s="113" t="s">
        <v>511</v>
      </c>
      <c r="F32" s="93" t="s">
        <v>141</v>
      </c>
      <c r="G32" s="93" t="s">
        <v>142</v>
      </c>
      <c r="H32" s="113" t="s">
        <v>204</v>
      </c>
      <c r="I32" s="113" t="s">
        <v>206</v>
      </c>
      <c r="J32" s="110"/>
      <c r="K32" s="113" t="s">
        <v>200</v>
      </c>
      <c r="L32" s="94"/>
      <c r="M32" s="94"/>
      <c r="N32" s="112"/>
      <c r="O32" s="112"/>
      <c r="P32" s="112"/>
      <c r="Q32" s="112"/>
      <c r="R32" s="60"/>
    </row>
    <row r="33" spans="1:18" ht="26.4">
      <c r="A33" s="59"/>
      <c r="B33" s="93"/>
      <c r="C33" s="93"/>
      <c r="D33" s="93" t="s">
        <v>531</v>
      </c>
      <c r="E33" s="113" t="s">
        <v>511</v>
      </c>
      <c r="F33" s="93" t="s">
        <v>141</v>
      </c>
      <c r="G33" s="93" t="s">
        <v>142</v>
      </c>
      <c r="H33" s="113" t="s">
        <v>204</v>
      </c>
      <c r="I33" s="113" t="s">
        <v>206</v>
      </c>
      <c r="J33" s="110"/>
      <c r="K33" s="113" t="s">
        <v>199</v>
      </c>
      <c r="L33" s="94"/>
      <c r="M33" s="94"/>
      <c r="N33" s="112"/>
      <c r="O33" s="112"/>
      <c r="P33" s="112"/>
      <c r="Q33" s="112"/>
      <c r="R33" s="60"/>
    </row>
    <row r="34" spans="1:18" ht="39.6">
      <c r="A34" s="59"/>
      <c r="B34" s="93"/>
      <c r="C34" s="93"/>
      <c r="D34" s="93" t="s">
        <v>532</v>
      </c>
      <c r="E34" s="113" t="s">
        <v>511</v>
      </c>
      <c r="F34" s="93" t="s">
        <v>141</v>
      </c>
      <c r="G34" s="93" t="s">
        <v>142</v>
      </c>
      <c r="H34" s="113" t="s">
        <v>204</v>
      </c>
      <c r="I34" s="102" t="s">
        <v>383</v>
      </c>
      <c r="J34" s="102"/>
      <c r="K34" s="113" t="s">
        <v>180</v>
      </c>
      <c r="L34" s="94"/>
      <c r="M34" s="94"/>
      <c r="N34" s="112"/>
      <c r="O34" s="112"/>
      <c r="P34" s="112"/>
      <c r="Q34" s="112"/>
      <c r="R34" s="60"/>
    </row>
    <row r="35" spans="1:18" ht="26.4">
      <c r="A35" s="59"/>
      <c r="B35" s="93"/>
      <c r="C35" s="93"/>
      <c r="D35" s="93" t="s">
        <v>533</v>
      </c>
      <c r="E35" s="113" t="s">
        <v>511</v>
      </c>
      <c r="F35" s="93" t="s">
        <v>141</v>
      </c>
      <c r="G35" s="93" t="s">
        <v>142</v>
      </c>
      <c r="H35" s="113" t="s">
        <v>205</v>
      </c>
      <c r="I35" s="113" t="s">
        <v>207</v>
      </c>
      <c r="J35" s="113"/>
      <c r="K35" s="110" t="s">
        <v>202</v>
      </c>
      <c r="L35" s="94"/>
      <c r="M35" s="94"/>
      <c r="N35" s="112"/>
      <c r="O35" s="112"/>
      <c r="P35" s="112"/>
      <c r="Q35" s="112"/>
      <c r="R35" s="60"/>
    </row>
    <row r="36" spans="1:18" ht="39.6">
      <c r="A36" s="59"/>
      <c r="B36" s="93"/>
      <c r="C36" s="93"/>
      <c r="D36" s="93" t="s">
        <v>534</v>
      </c>
      <c r="E36" s="113" t="s">
        <v>511</v>
      </c>
      <c r="F36" s="93" t="s">
        <v>141</v>
      </c>
      <c r="G36" s="93" t="s">
        <v>142</v>
      </c>
      <c r="H36" s="113" t="s">
        <v>205</v>
      </c>
      <c r="I36" s="113" t="s">
        <v>384</v>
      </c>
      <c r="J36" s="113"/>
      <c r="K36" s="113" t="s">
        <v>203</v>
      </c>
      <c r="L36" s="94"/>
      <c r="M36" s="94"/>
      <c r="N36" s="112"/>
      <c r="O36" s="112"/>
      <c r="P36" s="112"/>
      <c r="Q36" s="112"/>
      <c r="R36" s="60"/>
    </row>
    <row r="37" spans="1:18" ht="52.8">
      <c r="A37" s="59"/>
      <c r="B37" s="93"/>
      <c r="C37" s="93"/>
      <c r="D37" s="93" t="s">
        <v>535</v>
      </c>
      <c r="E37" s="113" t="s">
        <v>511</v>
      </c>
      <c r="F37" s="93" t="s">
        <v>141</v>
      </c>
      <c r="G37" s="93" t="s">
        <v>142</v>
      </c>
      <c r="H37" s="113" t="s">
        <v>205</v>
      </c>
      <c r="I37" s="113" t="s">
        <v>208</v>
      </c>
      <c r="J37" s="113"/>
      <c r="K37" s="113" t="s">
        <v>381</v>
      </c>
      <c r="L37" s="94"/>
      <c r="M37" s="94"/>
      <c r="N37" s="112"/>
      <c r="O37" s="112"/>
      <c r="P37" s="112"/>
      <c r="Q37" s="112"/>
      <c r="R37" s="60"/>
    </row>
    <row r="38" spans="1:18" ht="39.6">
      <c r="A38" s="59"/>
      <c r="B38" s="93"/>
      <c r="C38" s="93"/>
      <c r="D38" s="93" t="s">
        <v>536</v>
      </c>
      <c r="E38" s="113" t="s">
        <v>511</v>
      </c>
      <c r="F38" s="93" t="s">
        <v>124</v>
      </c>
      <c r="G38" s="93" t="s">
        <v>142</v>
      </c>
      <c r="H38" s="113" t="s">
        <v>204</v>
      </c>
      <c r="I38" s="113" t="s">
        <v>206</v>
      </c>
      <c r="J38" s="110"/>
      <c r="K38" s="113" t="s">
        <v>221</v>
      </c>
      <c r="L38" s="94"/>
      <c r="M38" s="94"/>
      <c r="N38" s="112"/>
      <c r="O38" s="112"/>
      <c r="P38" s="112"/>
      <c r="Q38" s="112"/>
      <c r="R38" s="60"/>
    </row>
    <row r="39" spans="1:18" ht="26.4">
      <c r="A39" s="59"/>
      <c r="B39" s="93"/>
      <c r="C39" s="93"/>
      <c r="D39" s="93" t="s">
        <v>537</v>
      </c>
      <c r="E39" s="113" t="s">
        <v>511</v>
      </c>
      <c r="F39" s="93" t="s">
        <v>124</v>
      </c>
      <c r="G39" s="93" t="s">
        <v>142</v>
      </c>
      <c r="H39" s="113" t="s">
        <v>204</v>
      </c>
      <c r="I39" s="113" t="s">
        <v>206</v>
      </c>
      <c r="J39" s="110"/>
      <c r="K39" s="113" t="s">
        <v>200</v>
      </c>
      <c r="L39" s="94"/>
      <c r="M39" s="94"/>
      <c r="N39" s="112"/>
      <c r="O39" s="112"/>
      <c r="P39" s="112"/>
      <c r="Q39" s="112"/>
      <c r="R39" s="60"/>
    </row>
    <row r="40" spans="1:18" ht="26.4">
      <c r="A40" s="59"/>
      <c r="B40" s="93"/>
      <c r="C40" s="93"/>
      <c r="D40" s="93" t="s">
        <v>538</v>
      </c>
      <c r="E40" s="113" t="s">
        <v>511</v>
      </c>
      <c r="F40" s="93" t="s">
        <v>124</v>
      </c>
      <c r="G40" s="93" t="s">
        <v>142</v>
      </c>
      <c r="H40" s="113" t="s">
        <v>204</v>
      </c>
      <c r="I40" s="113" t="s">
        <v>206</v>
      </c>
      <c r="J40" s="110"/>
      <c r="K40" s="113" t="s">
        <v>199</v>
      </c>
      <c r="L40" s="94"/>
      <c r="M40" s="94"/>
      <c r="N40" s="112"/>
      <c r="O40" s="112"/>
      <c r="P40" s="112"/>
      <c r="Q40" s="112"/>
      <c r="R40" s="60"/>
    </row>
    <row r="41" spans="1:18" ht="39.6">
      <c r="A41" s="59"/>
      <c r="B41" s="93"/>
      <c r="C41" s="93"/>
      <c r="D41" s="93" t="s">
        <v>539</v>
      </c>
      <c r="E41" s="113" t="s">
        <v>511</v>
      </c>
      <c r="F41" s="93" t="s">
        <v>124</v>
      </c>
      <c r="G41" s="93" t="s">
        <v>142</v>
      </c>
      <c r="H41" s="113" t="s">
        <v>204</v>
      </c>
      <c r="I41" s="102" t="s">
        <v>383</v>
      </c>
      <c r="J41" s="102"/>
      <c r="K41" s="113" t="s">
        <v>180</v>
      </c>
      <c r="L41" s="94"/>
      <c r="M41" s="94"/>
      <c r="N41" s="112"/>
      <c r="O41" s="112"/>
      <c r="P41" s="112"/>
      <c r="Q41" s="112"/>
      <c r="R41" s="60"/>
    </row>
    <row r="42" spans="1:18" ht="26.4">
      <c r="A42" s="59"/>
      <c r="B42" s="93"/>
      <c r="C42" s="93"/>
      <c r="D42" s="93" t="s">
        <v>540</v>
      </c>
      <c r="E42" s="113" t="s">
        <v>511</v>
      </c>
      <c r="F42" s="93" t="s">
        <v>124</v>
      </c>
      <c r="G42" s="93" t="s">
        <v>142</v>
      </c>
      <c r="H42" s="113" t="s">
        <v>205</v>
      </c>
      <c r="I42" s="113" t="s">
        <v>207</v>
      </c>
      <c r="J42" s="113"/>
      <c r="K42" s="110" t="s">
        <v>202</v>
      </c>
      <c r="L42" s="94"/>
      <c r="M42" s="94"/>
      <c r="N42" s="112"/>
      <c r="O42" s="112"/>
      <c r="P42" s="112"/>
      <c r="Q42" s="112"/>
      <c r="R42" s="60"/>
    </row>
    <row r="43" spans="1:18" ht="39.6">
      <c r="A43" s="59"/>
      <c r="B43" s="93"/>
      <c r="C43" s="93"/>
      <c r="D43" s="93" t="s">
        <v>541</v>
      </c>
      <c r="E43" s="113" t="s">
        <v>511</v>
      </c>
      <c r="F43" s="93" t="s">
        <v>124</v>
      </c>
      <c r="G43" s="93" t="s">
        <v>142</v>
      </c>
      <c r="H43" s="113" t="s">
        <v>205</v>
      </c>
      <c r="I43" s="113" t="s">
        <v>384</v>
      </c>
      <c r="J43" s="113"/>
      <c r="K43" s="113" t="s">
        <v>203</v>
      </c>
      <c r="L43" s="94"/>
      <c r="M43" s="94"/>
      <c r="N43" s="112"/>
      <c r="O43" s="112"/>
      <c r="P43" s="112"/>
      <c r="Q43" s="112"/>
      <c r="R43" s="60"/>
    </row>
    <row r="44" spans="1:18" ht="52.8">
      <c r="A44" s="59"/>
      <c r="B44" s="93"/>
      <c r="C44" s="93"/>
      <c r="D44" s="93" t="s">
        <v>542</v>
      </c>
      <c r="E44" s="113" t="s">
        <v>511</v>
      </c>
      <c r="F44" s="93" t="s">
        <v>124</v>
      </c>
      <c r="G44" s="93" t="s">
        <v>142</v>
      </c>
      <c r="H44" s="113" t="s">
        <v>205</v>
      </c>
      <c r="I44" s="113" t="s">
        <v>208</v>
      </c>
      <c r="J44" s="113"/>
      <c r="K44" s="113" t="s">
        <v>381</v>
      </c>
      <c r="L44" s="94"/>
      <c r="M44" s="94"/>
      <c r="N44" s="112"/>
      <c r="O44" s="112"/>
      <c r="P44" s="112"/>
      <c r="Q44" s="112"/>
      <c r="R44" s="60"/>
    </row>
    <row r="45" spans="1:18">
      <c r="A45" s="59"/>
      <c r="B45" s="93"/>
      <c r="C45" s="93"/>
      <c r="D45" s="93"/>
      <c r="E45" s="93"/>
      <c r="F45" s="93"/>
      <c r="G45" s="93"/>
      <c r="H45" s="113"/>
      <c r="I45" s="113"/>
      <c r="J45" s="93"/>
      <c r="K45" s="93"/>
      <c r="L45" s="94"/>
      <c r="M45" s="94"/>
      <c r="N45" s="112"/>
      <c r="O45" s="112"/>
      <c r="P45" s="112"/>
      <c r="Q45" s="112"/>
      <c r="R45" s="60"/>
    </row>
    <row r="46" spans="1:18">
      <c r="A46" s="59"/>
      <c r="B46" s="93"/>
      <c r="C46" s="93"/>
      <c r="D46" s="93"/>
      <c r="E46" s="93"/>
      <c r="F46" s="93"/>
      <c r="G46" s="93"/>
      <c r="H46" s="113"/>
      <c r="I46" s="113"/>
      <c r="J46" s="93"/>
      <c r="K46" s="93"/>
      <c r="L46" s="94"/>
      <c r="M46" s="94"/>
      <c r="N46" s="112"/>
      <c r="O46" s="112"/>
      <c r="P46" s="112"/>
      <c r="Q46" s="112"/>
      <c r="R46" s="60"/>
    </row>
    <row r="47" spans="1:18">
      <c r="A47" s="59"/>
      <c r="B47" s="93"/>
      <c r="C47" s="93"/>
      <c r="D47" s="93"/>
      <c r="E47" s="93"/>
      <c r="F47" s="93"/>
      <c r="G47" s="93"/>
      <c r="H47" s="113"/>
      <c r="I47" s="113"/>
      <c r="J47" s="93"/>
      <c r="K47" s="93"/>
      <c r="L47" s="94"/>
      <c r="M47" s="94"/>
      <c r="N47" s="112"/>
      <c r="O47" s="112"/>
      <c r="P47" s="112"/>
      <c r="Q47" s="112"/>
      <c r="R47" s="60"/>
    </row>
    <row r="48" spans="1:18">
      <c r="A48" s="59"/>
      <c r="B48" s="93"/>
      <c r="C48" s="93"/>
      <c r="D48" s="93"/>
      <c r="E48" s="93"/>
      <c r="F48" s="93"/>
      <c r="G48" s="93"/>
      <c r="H48" s="113"/>
      <c r="I48" s="113"/>
      <c r="J48" s="93"/>
      <c r="K48" s="93"/>
      <c r="L48" s="94"/>
      <c r="M48" s="94"/>
      <c r="N48" s="112"/>
      <c r="O48" s="112"/>
      <c r="P48" s="112"/>
      <c r="Q48" s="112"/>
      <c r="R48" s="60"/>
    </row>
    <row r="49" spans="1:18">
      <c r="A49" s="59"/>
      <c r="B49" s="93"/>
      <c r="C49" s="93"/>
      <c r="D49" s="93"/>
      <c r="E49" s="93"/>
      <c r="F49" s="93"/>
      <c r="G49" s="93"/>
      <c r="H49" s="113"/>
      <c r="I49" s="113"/>
      <c r="J49" s="93"/>
      <c r="K49" s="93"/>
      <c r="L49" s="94"/>
      <c r="M49" s="94"/>
      <c r="N49" s="112"/>
      <c r="O49" s="112"/>
      <c r="P49" s="112"/>
      <c r="Q49" s="112"/>
      <c r="R49" s="60"/>
    </row>
    <row r="50" spans="1:18">
      <c r="A50" s="59"/>
      <c r="B50" s="93"/>
      <c r="C50" s="93"/>
      <c r="D50" s="93"/>
      <c r="E50" s="93"/>
      <c r="F50" s="93"/>
      <c r="G50" s="93"/>
      <c r="H50" s="113"/>
      <c r="I50" s="113"/>
      <c r="J50" s="93"/>
      <c r="K50" s="93"/>
      <c r="L50" s="94"/>
      <c r="M50" s="94"/>
      <c r="N50" s="112"/>
      <c r="O50" s="112"/>
      <c r="P50" s="112"/>
      <c r="Q50" s="112"/>
      <c r="R50" s="60"/>
    </row>
    <row r="51" spans="1:18">
      <c r="A51" s="59"/>
      <c r="B51" s="93"/>
      <c r="C51" s="93"/>
      <c r="D51" s="93"/>
      <c r="E51" s="93"/>
      <c r="F51" s="93"/>
      <c r="G51" s="93"/>
      <c r="H51" s="113"/>
      <c r="I51" s="113"/>
      <c r="J51" s="93"/>
      <c r="K51" s="93"/>
      <c r="L51" s="94"/>
      <c r="M51" s="94"/>
      <c r="N51" s="112"/>
      <c r="O51" s="112"/>
      <c r="P51" s="112"/>
      <c r="Q51" s="112"/>
      <c r="R51" s="60"/>
    </row>
    <row r="52" spans="1:18">
      <c r="A52" s="59"/>
      <c r="B52" s="93"/>
      <c r="C52" s="93"/>
      <c r="D52" s="93"/>
      <c r="E52" s="93"/>
      <c r="F52" s="93"/>
      <c r="G52" s="93"/>
      <c r="H52" s="113"/>
      <c r="I52" s="113"/>
      <c r="J52" s="93"/>
      <c r="K52" s="93"/>
      <c r="L52" s="94"/>
      <c r="M52" s="94"/>
      <c r="N52" s="112"/>
      <c r="O52" s="112"/>
      <c r="P52" s="112"/>
      <c r="Q52" s="112"/>
      <c r="R52" s="60"/>
    </row>
    <row r="53" spans="1:18">
      <c r="A53" s="59"/>
      <c r="B53" s="93"/>
      <c r="C53" s="93"/>
      <c r="D53" s="93"/>
      <c r="E53" s="93"/>
      <c r="F53" s="93"/>
      <c r="G53" s="93"/>
      <c r="H53" s="113"/>
      <c r="I53" s="113"/>
      <c r="J53" s="93"/>
      <c r="K53" s="93"/>
      <c r="L53" s="94"/>
      <c r="M53" s="94"/>
      <c r="N53" s="112"/>
      <c r="O53" s="112"/>
      <c r="P53" s="112"/>
      <c r="Q53" s="112"/>
      <c r="R53" s="60"/>
    </row>
    <row r="54" spans="1:18">
      <c r="A54" s="59"/>
      <c r="B54" s="93"/>
      <c r="C54" s="93"/>
      <c r="D54" s="93"/>
      <c r="E54" s="97"/>
      <c r="F54" s="95"/>
      <c r="G54" s="95"/>
      <c r="H54" s="95"/>
      <c r="I54" s="96"/>
      <c r="J54" s="97"/>
      <c r="K54" s="97"/>
      <c r="L54" s="98"/>
      <c r="M54" s="98"/>
      <c r="N54" s="74"/>
      <c r="O54" s="74"/>
      <c r="P54" s="74"/>
      <c r="Q54" s="74"/>
      <c r="R54" s="60"/>
    </row>
    <row r="55" spans="1:18">
      <c r="B55" s="65"/>
      <c r="C55" s="65"/>
      <c r="D55" s="65"/>
      <c r="E55" s="65"/>
      <c r="F55" s="65"/>
      <c r="G55" s="65"/>
      <c r="H55" s="65"/>
      <c r="I55" s="65"/>
      <c r="J55" s="66"/>
      <c r="K55" s="66"/>
      <c r="L55" s="66"/>
      <c r="M55" s="66"/>
      <c r="N55" s="66"/>
      <c r="O55" s="66"/>
      <c r="P55" s="66"/>
      <c r="Q55" s="66"/>
    </row>
  </sheetData>
  <mergeCells count="7">
    <mergeCell ref="C2:K2"/>
    <mergeCell ref="B9:K9"/>
    <mergeCell ref="B4:K4"/>
    <mergeCell ref="B5:K5"/>
    <mergeCell ref="B6:K6"/>
    <mergeCell ref="B7:K7"/>
    <mergeCell ref="B8:K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7571-047A-4D6E-AAF2-620B7A69C058}">
  <sheetPr codeName="Sheet7">
    <pageSetUpPr fitToPage="1"/>
  </sheetPr>
  <dimension ref="A1:R69"/>
  <sheetViews>
    <sheetView zoomScale="85" zoomScaleNormal="85" workbookViewId="0">
      <selection activeCell="B7" sqref="B7:K7"/>
    </sheetView>
  </sheetViews>
  <sheetFormatPr defaultColWidth="8.8984375" defaultRowHeight="15.6"/>
  <cols>
    <col min="1" max="1" width="2.69921875" style="54" customWidth="1"/>
    <col min="2" max="2" width="6.09765625" style="55" customWidth="1"/>
    <col min="3" max="4" width="10" style="55" customWidth="1"/>
    <col min="5" max="5" width="13.59765625" style="55" customWidth="1"/>
    <col min="6" max="7" width="5.69921875" style="55" customWidth="1"/>
    <col min="8" max="8" width="18.3984375" style="55" customWidth="1"/>
    <col min="9" max="9" width="26.796875" style="55" customWidth="1"/>
    <col min="10" max="10" width="25.19921875" style="54" customWidth="1"/>
    <col min="11" max="11" width="31.8984375" style="54" customWidth="1"/>
    <col min="12" max="13" width="8.69921875" style="54" customWidth="1"/>
    <col min="14" max="14" width="9.09765625" style="54" customWidth="1"/>
    <col min="15" max="15" width="30.69921875" style="54" customWidth="1"/>
    <col min="16" max="16" width="10.59765625" style="54" bestFit="1" customWidth="1"/>
    <col min="17" max="16384" width="8.8984375" style="54"/>
  </cols>
  <sheetData>
    <row r="1" spans="1:18" ht="66" customHeight="1">
      <c r="B1" s="56"/>
      <c r="C1" s="56"/>
      <c r="D1" s="56"/>
      <c r="E1" s="56"/>
      <c r="F1" s="57"/>
      <c r="G1" s="57"/>
      <c r="H1" s="57"/>
      <c r="I1" s="57"/>
      <c r="J1" s="58"/>
      <c r="K1" s="58"/>
    </row>
    <row r="2" spans="1:18" ht="59.55" customHeight="1">
      <c r="A2" s="59"/>
      <c r="B2" s="120" t="s">
        <v>212</v>
      </c>
      <c r="C2" s="154" t="s">
        <v>209</v>
      </c>
      <c r="D2" s="155"/>
      <c r="E2" s="155"/>
      <c r="F2" s="155"/>
      <c r="G2" s="155"/>
      <c r="H2" s="155"/>
      <c r="I2" s="155"/>
      <c r="J2" s="155"/>
      <c r="K2" s="156"/>
      <c r="L2" s="62"/>
      <c r="M2" s="63"/>
      <c r="N2" s="63"/>
      <c r="O2" s="63"/>
      <c r="P2" s="63"/>
    </row>
    <row r="3" spans="1:18" ht="7.5" customHeight="1">
      <c r="B3" s="92"/>
      <c r="C3" s="92"/>
      <c r="D3" s="92"/>
      <c r="E3" s="92"/>
      <c r="F3" s="82"/>
      <c r="G3" s="82"/>
      <c r="H3" s="82"/>
      <c r="I3" s="82"/>
      <c r="J3" s="83"/>
      <c r="K3" s="83"/>
    </row>
    <row r="4" spans="1:18">
      <c r="A4" s="59"/>
      <c r="B4" s="159" t="s">
        <v>113</v>
      </c>
      <c r="C4" s="159"/>
      <c r="D4" s="159"/>
      <c r="E4" s="159"/>
      <c r="F4" s="159"/>
      <c r="G4" s="159"/>
      <c r="H4" s="159"/>
      <c r="I4" s="159"/>
      <c r="J4" s="159"/>
      <c r="K4" s="159"/>
      <c r="L4" s="60"/>
    </row>
    <row r="5" spans="1:18" s="63" customFormat="1" ht="28.8" customHeight="1">
      <c r="A5" s="61"/>
      <c r="B5" s="157" t="s">
        <v>220</v>
      </c>
      <c r="C5" s="161"/>
      <c r="D5" s="161"/>
      <c r="E5" s="162"/>
      <c r="F5" s="162"/>
      <c r="G5" s="162"/>
      <c r="H5" s="162"/>
      <c r="I5" s="162"/>
      <c r="J5" s="162"/>
      <c r="K5" s="162"/>
      <c r="L5" s="62"/>
    </row>
    <row r="6" spans="1:18">
      <c r="A6" s="59"/>
      <c r="B6" s="159" t="s">
        <v>18</v>
      </c>
      <c r="C6" s="159"/>
      <c r="D6" s="159"/>
      <c r="E6" s="159"/>
      <c r="F6" s="159"/>
      <c r="G6" s="159"/>
      <c r="H6" s="159"/>
      <c r="I6" s="159"/>
      <c r="J6" s="159"/>
      <c r="K6" s="159"/>
      <c r="L6" s="60"/>
    </row>
    <row r="7" spans="1:18" ht="92.25" customHeight="1">
      <c r="A7" s="59"/>
      <c r="B7" s="157" t="s">
        <v>545</v>
      </c>
      <c r="C7" s="157"/>
      <c r="D7" s="157"/>
      <c r="E7" s="158"/>
      <c r="F7" s="158"/>
      <c r="G7" s="158"/>
      <c r="H7" s="158"/>
      <c r="I7" s="158"/>
      <c r="J7" s="158"/>
      <c r="K7" s="158"/>
      <c r="L7" s="60"/>
    </row>
    <row r="8" spans="1:18">
      <c r="A8" s="59"/>
      <c r="B8" s="159" t="s">
        <v>114</v>
      </c>
      <c r="C8" s="159"/>
      <c r="D8" s="159"/>
      <c r="E8" s="159"/>
      <c r="F8" s="159"/>
      <c r="G8" s="159"/>
      <c r="H8" s="159"/>
      <c r="I8" s="159"/>
      <c r="J8" s="159"/>
      <c r="K8" s="159"/>
      <c r="L8" s="60"/>
    </row>
    <row r="9" spans="1:18" ht="59.55" customHeight="1">
      <c r="A9" s="59"/>
      <c r="B9" s="157" t="s">
        <v>287</v>
      </c>
      <c r="C9" s="158"/>
      <c r="D9" s="158"/>
      <c r="E9" s="158"/>
      <c r="F9" s="158"/>
      <c r="G9" s="158"/>
      <c r="H9" s="158"/>
      <c r="I9" s="158"/>
      <c r="J9" s="158"/>
      <c r="K9" s="158"/>
      <c r="L9" s="60"/>
    </row>
    <row r="10" spans="1:18" ht="10.050000000000001" customHeight="1">
      <c r="B10" s="92"/>
      <c r="C10" s="92"/>
      <c r="D10" s="92"/>
      <c r="E10" s="92"/>
      <c r="F10" s="82"/>
      <c r="G10" s="82"/>
      <c r="H10" s="82"/>
      <c r="I10" s="82"/>
      <c r="J10" s="83"/>
      <c r="K10" s="83"/>
      <c r="L10" s="58"/>
      <c r="M10" s="58"/>
      <c r="N10" s="58"/>
      <c r="O10" s="58"/>
      <c r="P10" s="58"/>
      <c r="Q10" s="58"/>
    </row>
    <row r="11" spans="1:18">
      <c r="A11" s="59"/>
      <c r="B11" s="100" t="s">
        <v>167</v>
      </c>
      <c r="C11" s="100" t="s">
        <v>327</v>
      </c>
      <c r="D11" s="100" t="s">
        <v>61</v>
      </c>
      <c r="E11" s="100" t="s">
        <v>116</v>
      </c>
      <c r="F11" s="100" t="s">
        <v>103</v>
      </c>
      <c r="G11" s="100" t="s">
        <v>104</v>
      </c>
      <c r="H11" s="100" t="s">
        <v>105</v>
      </c>
      <c r="I11" s="100" t="s">
        <v>117</v>
      </c>
      <c r="J11" s="100" t="s">
        <v>106</v>
      </c>
      <c r="K11" s="100" t="s">
        <v>107</v>
      </c>
      <c r="L11" s="64" t="s">
        <v>108</v>
      </c>
      <c r="M11" s="64" t="s">
        <v>109</v>
      </c>
      <c r="N11" s="64" t="s">
        <v>110</v>
      </c>
      <c r="O11" s="64" t="s">
        <v>111</v>
      </c>
      <c r="P11" s="64" t="s">
        <v>115</v>
      </c>
      <c r="Q11" s="64" t="s">
        <v>112</v>
      </c>
      <c r="R11" s="60"/>
    </row>
    <row r="12" spans="1:18" ht="79.2">
      <c r="A12" s="59"/>
      <c r="B12" s="93">
        <v>1</v>
      </c>
      <c r="C12" s="93" t="s">
        <v>125</v>
      </c>
      <c r="D12" s="93" t="s">
        <v>368</v>
      </c>
      <c r="E12" s="113" t="s">
        <v>514</v>
      </c>
      <c r="F12" s="93" t="s">
        <v>318</v>
      </c>
      <c r="G12" s="93" t="s">
        <v>136</v>
      </c>
      <c r="H12" s="113" t="s">
        <v>390</v>
      </c>
      <c r="I12" s="113" t="s">
        <v>386</v>
      </c>
      <c r="J12" s="113"/>
      <c r="K12" s="121" t="s">
        <v>201</v>
      </c>
      <c r="L12" s="94"/>
      <c r="M12" s="94"/>
      <c r="N12" s="74"/>
      <c r="O12" s="74"/>
      <c r="P12" s="74"/>
      <c r="Q12" s="74"/>
      <c r="R12" s="60"/>
    </row>
    <row r="13" spans="1:18" ht="52.8">
      <c r="A13" s="59"/>
      <c r="B13" s="93">
        <v>2</v>
      </c>
      <c r="C13" s="93"/>
      <c r="D13" s="93" t="s">
        <v>369</v>
      </c>
      <c r="E13" s="113" t="s">
        <v>514</v>
      </c>
      <c r="F13" s="93" t="s">
        <v>318</v>
      </c>
      <c r="G13" s="93" t="s">
        <v>142</v>
      </c>
      <c r="H13" s="113" t="s">
        <v>390</v>
      </c>
      <c r="I13" s="113" t="s">
        <v>389</v>
      </c>
      <c r="J13" s="121"/>
      <c r="K13" s="110" t="s">
        <v>329</v>
      </c>
      <c r="L13" s="94"/>
      <c r="M13" s="94"/>
      <c r="N13" s="112"/>
      <c r="O13" s="112"/>
      <c r="P13" s="112"/>
      <c r="Q13" s="112"/>
      <c r="R13" s="60"/>
    </row>
    <row r="14" spans="1:18" ht="26.4">
      <c r="A14" s="59"/>
      <c r="B14" s="93">
        <v>3</v>
      </c>
      <c r="C14" s="93"/>
      <c r="D14" s="93" t="s">
        <v>370</v>
      </c>
      <c r="E14" s="113" t="s">
        <v>514</v>
      </c>
      <c r="F14" s="93" t="s">
        <v>318</v>
      </c>
      <c r="G14" s="93" t="s">
        <v>223</v>
      </c>
      <c r="H14" s="113" t="s">
        <v>390</v>
      </c>
      <c r="I14" s="113" t="s">
        <v>222</v>
      </c>
      <c r="J14" s="113"/>
      <c r="K14" s="113" t="s">
        <v>379</v>
      </c>
      <c r="L14" s="94"/>
      <c r="M14" s="94"/>
      <c r="N14" s="112"/>
      <c r="O14" s="112"/>
      <c r="P14" s="112"/>
      <c r="Q14" s="112"/>
      <c r="R14" s="60"/>
    </row>
    <row r="15" spans="1:18" ht="66">
      <c r="A15" s="59"/>
      <c r="B15" s="93">
        <v>4</v>
      </c>
      <c r="C15" s="93"/>
      <c r="D15" s="93" t="s">
        <v>371</v>
      </c>
      <c r="E15" s="113" t="s">
        <v>514</v>
      </c>
      <c r="F15" s="93" t="s">
        <v>318</v>
      </c>
      <c r="G15" s="93" t="s">
        <v>136</v>
      </c>
      <c r="H15" s="113" t="s">
        <v>391</v>
      </c>
      <c r="I15" s="113" t="s">
        <v>392</v>
      </c>
      <c r="J15" s="121"/>
      <c r="K15" s="121" t="s">
        <v>393</v>
      </c>
      <c r="L15" s="94"/>
      <c r="M15" s="94"/>
      <c r="N15" s="74"/>
      <c r="O15" s="74"/>
      <c r="P15" s="74"/>
      <c r="Q15" s="74"/>
      <c r="R15" s="60"/>
    </row>
    <row r="16" spans="1:18" ht="52.8">
      <c r="A16" s="59"/>
      <c r="B16" s="93">
        <v>5</v>
      </c>
      <c r="C16" s="93"/>
      <c r="D16" s="93" t="s">
        <v>372</v>
      </c>
      <c r="E16" s="113" t="s">
        <v>514</v>
      </c>
      <c r="F16" s="93" t="s">
        <v>318</v>
      </c>
      <c r="G16" s="93" t="s">
        <v>142</v>
      </c>
      <c r="H16" s="113" t="s">
        <v>394</v>
      </c>
      <c r="I16" s="113" t="s">
        <v>224</v>
      </c>
      <c r="J16" s="121" t="s">
        <v>145</v>
      </c>
      <c r="K16" s="121" t="s">
        <v>322</v>
      </c>
      <c r="L16" s="94"/>
      <c r="M16" s="94"/>
      <c r="N16" s="74"/>
      <c r="O16" s="74"/>
      <c r="P16" s="74"/>
      <c r="Q16" s="74"/>
      <c r="R16" s="60"/>
    </row>
    <row r="17" spans="1:18" ht="52.8">
      <c r="A17" s="59"/>
      <c r="B17" s="93">
        <v>6</v>
      </c>
      <c r="C17" s="93"/>
      <c r="D17" s="93" t="s">
        <v>373</v>
      </c>
      <c r="E17" s="113" t="s">
        <v>514</v>
      </c>
      <c r="F17" s="93" t="s">
        <v>318</v>
      </c>
      <c r="G17" s="93" t="s">
        <v>142</v>
      </c>
      <c r="H17" s="113" t="s">
        <v>143</v>
      </c>
      <c r="I17" s="113" t="s">
        <v>225</v>
      </c>
      <c r="J17" s="121" t="s">
        <v>146</v>
      </c>
      <c r="K17" s="121" t="s">
        <v>323</v>
      </c>
      <c r="L17" s="94"/>
      <c r="M17" s="94"/>
      <c r="N17" s="74"/>
      <c r="O17" s="74"/>
      <c r="P17" s="74"/>
      <c r="Q17" s="74"/>
      <c r="R17" s="60"/>
    </row>
    <row r="18" spans="1:18" ht="39.6">
      <c r="A18" s="59"/>
      <c r="B18" s="93">
        <v>7</v>
      </c>
      <c r="C18" s="93"/>
      <c r="D18" s="93" t="s">
        <v>374</v>
      </c>
      <c r="E18" s="113" t="s">
        <v>514</v>
      </c>
      <c r="F18" s="93" t="s">
        <v>318</v>
      </c>
      <c r="G18" s="93" t="s">
        <v>142</v>
      </c>
      <c r="H18" s="113" t="s">
        <v>143</v>
      </c>
      <c r="I18" s="113" t="s">
        <v>225</v>
      </c>
      <c r="J18" s="113" t="s">
        <v>395</v>
      </c>
      <c r="K18" s="113" t="s">
        <v>226</v>
      </c>
      <c r="L18" s="94"/>
      <c r="M18" s="94"/>
      <c r="N18" s="112"/>
      <c r="O18" s="112"/>
      <c r="P18" s="112"/>
      <c r="Q18" s="112"/>
      <c r="R18" s="60"/>
    </row>
    <row r="19" spans="1:18" ht="26.4">
      <c r="A19" s="59"/>
      <c r="B19" s="93">
        <v>8</v>
      </c>
      <c r="C19" s="93"/>
      <c r="D19" s="93" t="s">
        <v>375</v>
      </c>
      <c r="E19" s="113" t="s">
        <v>514</v>
      </c>
      <c r="F19" s="93" t="s">
        <v>318</v>
      </c>
      <c r="G19" s="93" t="s">
        <v>142</v>
      </c>
      <c r="H19" s="113" t="s">
        <v>143</v>
      </c>
      <c r="I19" s="113" t="s">
        <v>396</v>
      </c>
      <c r="J19" s="113" t="s">
        <v>228</v>
      </c>
      <c r="K19" s="113" t="s">
        <v>227</v>
      </c>
      <c r="L19" s="94"/>
      <c r="M19" s="94"/>
      <c r="N19" s="112"/>
      <c r="O19" s="112"/>
      <c r="P19" s="112"/>
      <c r="Q19" s="112"/>
      <c r="R19" s="60"/>
    </row>
    <row r="20" spans="1:18" ht="66">
      <c r="A20" s="59"/>
      <c r="B20" s="93">
        <v>9</v>
      </c>
      <c r="C20" s="93"/>
      <c r="D20" s="93" t="s">
        <v>546</v>
      </c>
      <c r="E20" s="113" t="s">
        <v>514</v>
      </c>
      <c r="F20" s="93" t="s">
        <v>318</v>
      </c>
      <c r="G20" s="93" t="s">
        <v>142</v>
      </c>
      <c r="H20" s="113" t="s">
        <v>144</v>
      </c>
      <c r="I20" s="113" t="s">
        <v>397</v>
      </c>
      <c r="J20" s="121" t="s">
        <v>398</v>
      </c>
      <c r="K20" s="121" t="s">
        <v>147</v>
      </c>
      <c r="L20" s="94"/>
      <c r="M20" s="94"/>
      <c r="N20" s="74"/>
      <c r="O20" s="74"/>
      <c r="P20" s="74"/>
      <c r="Q20" s="74"/>
      <c r="R20" s="60"/>
    </row>
    <row r="21" spans="1:18" ht="52.8">
      <c r="A21" s="59"/>
      <c r="B21" s="93">
        <v>10</v>
      </c>
      <c r="C21" s="93" t="s">
        <v>328</v>
      </c>
      <c r="D21" s="93" t="s">
        <v>411</v>
      </c>
      <c r="E21" s="113" t="s">
        <v>515</v>
      </c>
      <c r="F21" s="93" t="s">
        <v>290</v>
      </c>
      <c r="G21" s="93" t="s">
        <v>142</v>
      </c>
      <c r="H21" s="113" t="s">
        <v>400</v>
      </c>
      <c r="I21" s="113" t="s">
        <v>399</v>
      </c>
      <c r="J21" s="113"/>
      <c r="K21" s="113" t="s">
        <v>231</v>
      </c>
      <c r="L21" s="93"/>
      <c r="M21" s="93"/>
      <c r="N21" s="93"/>
      <c r="O21" s="99"/>
      <c r="P21" s="74"/>
      <c r="Q21" s="74"/>
      <c r="R21" s="60"/>
    </row>
    <row r="22" spans="1:18" ht="52.8">
      <c r="A22" s="59"/>
      <c r="B22" s="93">
        <v>11</v>
      </c>
      <c r="C22" s="93"/>
      <c r="D22" s="93" t="s">
        <v>547</v>
      </c>
      <c r="E22" s="113" t="s">
        <v>515</v>
      </c>
      <c r="F22" s="93" t="s">
        <v>290</v>
      </c>
      <c r="G22" s="93" t="s">
        <v>142</v>
      </c>
      <c r="H22" s="113" t="s">
        <v>400</v>
      </c>
      <c r="I22" s="113" t="s">
        <v>399</v>
      </c>
      <c r="J22" s="113"/>
      <c r="K22" s="113" t="s">
        <v>229</v>
      </c>
      <c r="L22" s="93"/>
      <c r="M22" s="93"/>
      <c r="N22" s="93"/>
      <c r="O22" s="99"/>
      <c r="P22" s="112"/>
      <c r="Q22" s="112"/>
      <c r="R22" s="60"/>
    </row>
    <row r="23" spans="1:18" ht="52.8">
      <c r="A23" s="59"/>
      <c r="B23" s="93">
        <v>12</v>
      </c>
      <c r="C23" s="93"/>
      <c r="D23" s="93" t="s">
        <v>548</v>
      </c>
      <c r="E23" s="113" t="s">
        <v>515</v>
      </c>
      <c r="F23" s="93" t="s">
        <v>290</v>
      </c>
      <c r="G23" s="93" t="s">
        <v>142</v>
      </c>
      <c r="H23" s="113" t="s">
        <v>400</v>
      </c>
      <c r="I23" s="113" t="s">
        <v>399</v>
      </c>
      <c r="J23" s="113"/>
      <c r="K23" s="113" t="s">
        <v>230</v>
      </c>
      <c r="L23" s="93"/>
      <c r="M23" s="93"/>
      <c r="N23" s="93"/>
      <c r="O23" s="99"/>
      <c r="P23" s="112"/>
      <c r="Q23" s="112"/>
      <c r="R23" s="60"/>
    </row>
    <row r="24" spans="1:18" ht="39.6">
      <c r="A24" s="59"/>
      <c r="B24" s="93">
        <v>13</v>
      </c>
      <c r="C24" s="93"/>
      <c r="D24" s="93" t="s">
        <v>549</v>
      </c>
      <c r="E24" s="113" t="s">
        <v>515</v>
      </c>
      <c r="F24" s="93" t="s">
        <v>290</v>
      </c>
      <c r="G24" s="93" t="s">
        <v>142</v>
      </c>
      <c r="H24" s="113" t="s">
        <v>245</v>
      </c>
      <c r="I24" s="121" t="s">
        <v>238</v>
      </c>
      <c r="J24" s="121"/>
      <c r="K24" s="121" t="s">
        <v>233</v>
      </c>
      <c r="L24" s="94"/>
      <c r="M24" s="94"/>
      <c r="N24" s="112"/>
      <c r="O24" s="112"/>
      <c r="P24" s="74"/>
      <c r="Q24" s="74"/>
      <c r="R24" s="60"/>
    </row>
    <row r="25" spans="1:18" ht="52.8">
      <c r="A25" s="59"/>
      <c r="B25" s="93">
        <v>14</v>
      </c>
      <c r="C25" s="93"/>
      <c r="D25" s="93" t="s">
        <v>550</v>
      </c>
      <c r="E25" s="113" t="s">
        <v>515</v>
      </c>
      <c r="F25" s="93" t="s">
        <v>290</v>
      </c>
      <c r="G25" s="93" t="s">
        <v>142</v>
      </c>
      <c r="H25" s="113" t="s">
        <v>245</v>
      </c>
      <c r="I25" s="113" t="s">
        <v>235</v>
      </c>
      <c r="J25" s="113"/>
      <c r="K25" s="113" t="s">
        <v>234</v>
      </c>
      <c r="L25" s="112"/>
      <c r="M25" s="112"/>
      <c r="N25" s="112"/>
      <c r="O25" s="112"/>
      <c r="P25" s="112"/>
      <c r="Q25" s="112"/>
      <c r="R25" s="60"/>
    </row>
    <row r="26" spans="1:18" ht="39.6">
      <c r="A26" s="59"/>
      <c r="B26" s="93">
        <v>15</v>
      </c>
      <c r="C26" s="93"/>
      <c r="D26" s="93" t="s">
        <v>551</v>
      </c>
      <c r="E26" s="113" t="s">
        <v>515</v>
      </c>
      <c r="F26" s="93" t="s">
        <v>290</v>
      </c>
      <c r="G26" s="93" t="s">
        <v>142</v>
      </c>
      <c r="H26" s="113" t="s">
        <v>245</v>
      </c>
      <c r="I26" s="113" t="s">
        <v>239</v>
      </c>
      <c r="J26" s="113"/>
      <c r="K26" s="113" t="s">
        <v>232</v>
      </c>
      <c r="L26" s="112"/>
      <c r="M26" s="112"/>
      <c r="N26" s="112"/>
      <c r="O26" s="112"/>
      <c r="P26" s="112"/>
      <c r="Q26" s="112"/>
      <c r="R26" s="60"/>
    </row>
    <row r="27" spans="1:18" ht="39.6">
      <c r="A27" s="59"/>
      <c r="B27" s="93">
        <v>16</v>
      </c>
      <c r="C27" s="93"/>
      <c r="D27" s="93" t="s">
        <v>552</v>
      </c>
      <c r="E27" s="113" t="s">
        <v>515</v>
      </c>
      <c r="F27" s="93" t="s">
        <v>290</v>
      </c>
      <c r="G27" s="93" t="s">
        <v>136</v>
      </c>
      <c r="H27" s="113" t="s">
        <v>401</v>
      </c>
      <c r="I27" s="113" t="s">
        <v>240</v>
      </c>
      <c r="J27" s="121"/>
      <c r="K27" s="113" t="s">
        <v>172</v>
      </c>
      <c r="L27" s="112"/>
      <c r="M27" s="74"/>
      <c r="N27" s="112"/>
      <c r="O27" s="112"/>
      <c r="P27" s="74"/>
      <c r="Q27" s="74"/>
      <c r="R27" s="60"/>
    </row>
    <row r="28" spans="1:18" ht="26.4">
      <c r="A28" s="59"/>
      <c r="B28" s="93">
        <v>17</v>
      </c>
      <c r="C28" s="93"/>
      <c r="D28" s="93" t="s">
        <v>553</v>
      </c>
      <c r="E28" s="113" t="s">
        <v>515</v>
      </c>
      <c r="F28" s="93" t="s">
        <v>290</v>
      </c>
      <c r="G28" s="93" t="s">
        <v>142</v>
      </c>
      <c r="H28" s="113" t="s">
        <v>401</v>
      </c>
      <c r="I28" s="113" t="s">
        <v>406</v>
      </c>
      <c r="J28" s="113"/>
      <c r="K28" s="121" t="s">
        <v>236</v>
      </c>
      <c r="L28" s="112"/>
      <c r="M28" s="74"/>
      <c r="N28" s="112"/>
      <c r="O28" s="112"/>
      <c r="P28" s="74"/>
      <c r="Q28" s="74"/>
      <c r="R28" s="60"/>
    </row>
    <row r="29" spans="1:18" ht="26.4">
      <c r="A29" s="59"/>
      <c r="B29" s="93">
        <v>18</v>
      </c>
      <c r="C29" s="93"/>
      <c r="D29" s="93" t="s">
        <v>554</v>
      </c>
      <c r="E29" s="113" t="s">
        <v>515</v>
      </c>
      <c r="F29" s="93" t="s">
        <v>290</v>
      </c>
      <c r="G29" s="93" t="s">
        <v>142</v>
      </c>
      <c r="H29" s="113" t="s">
        <v>401</v>
      </c>
      <c r="I29" s="113" t="s">
        <v>410</v>
      </c>
      <c r="J29" s="113"/>
      <c r="K29" s="113" t="s">
        <v>237</v>
      </c>
      <c r="L29" s="115"/>
      <c r="M29" s="98"/>
      <c r="N29" s="112"/>
      <c r="O29" s="112"/>
      <c r="P29" s="112"/>
      <c r="Q29" s="112"/>
      <c r="R29" s="60"/>
    </row>
    <row r="30" spans="1:18" ht="66">
      <c r="A30" s="59"/>
      <c r="B30" s="93">
        <v>19</v>
      </c>
      <c r="C30" s="93"/>
      <c r="D30" s="93" t="s">
        <v>555</v>
      </c>
      <c r="E30" s="113" t="s">
        <v>515</v>
      </c>
      <c r="F30" s="93" t="s">
        <v>290</v>
      </c>
      <c r="G30" s="93" t="s">
        <v>142</v>
      </c>
      <c r="H30" s="113" t="s">
        <v>402</v>
      </c>
      <c r="I30" s="113" t="s">
        <v>241</v>
      </c>
      <c r="J30" s="121"/>
      <c r="K30" s="113" t="s">
        <v>405</v>
      </c>
      <c r="L30" s="94"/>
      <c r="M30" s="94"/>
      <c r="N30" s="74"/>
      <c r="O30" s="74"/>
      <c r="P30" s="74"/>
      <c r="Q30" s="74"/>
      <c r="R30" s="60"/>
    </row>
    <row r="31" spans="1:18" ht="52.8">
      <c r="A31" s="59"/>
      <c r="B31" s="93">
        <v>20</v>
      </c>
      <c r="C31" s="93"/>
      <c r="D31" s="93" t="s">
        <v>556</v>
      </c>
      <c r="E31" s="113" t="s">
        <v>515</v>
      </c>
      <c r="F31" s="93" t="s">
        <v>290</v>
      </c>
      <c r="G31" s="93" t="s">
        <v>142</v>
      </c>
      <c r="H31" s="113" t="s">
        <v>402</v>
      </c>
      <c r="I31" s="113" t="s">
        <v>403</v>
      </c>
      <c r="J31" s="113"/>
      <c r="K31" s="113" t="s">
        <v>237</v>
      </c>
      <c r="L31" s="94"/>
      <c r="M31" s="94"/>
      <c r="N31" s="112"/>
      <c r="O31" s="112"/>
      <c r="P31" s="112"/>
      <c r="Q31" s="112"/>
      <c r="R31" s="60"/>
    </row>
    <row r="32" spans="1:18" ht="52.8">
      <c r="A32" s="59"/>
      <c r="B32" s="93">
        <v>21</v>
      </c>
      <c r="C32" s="93"/>
      <c r="D32" s="93" t="s">
        <v>557</v>
      </c>
      <c r="E32" s="113" t="s">
        <v>515</v>
      </c>
      <c r="F32" s="93" t="s">
        <v>290</v>
      </c>
      <c r="G32" s="93" t="s">
        <v>138</v>
      </c>
      <c r="H32" s="113" t="s">
        <v>402</v>
      </c>
      <c r="I32" s="113" t="s">
        <v>404</v>
      </c>
      <c r="J32" s="113"/>
      <c r="K32" s="113" t="s">
        <v>244</v>
      </c>
      <c r="L32" s="94"/>
      <c r="M32" s="94"/>
      <c r="N32" s="112"/>
      <c r="O32" s="112"/>
      <c r="P32" s="112"/>
      <c r="Q32" s="112"/>
      <c r="R32" s="60"/>
    </row>
    <row r="33" spans="1:18" ht="26.4">
      <c r="A33" s="59"/>
      <c r="B33" s="93">
        <v>22</v>
      </c>
      <c r="C33" s="93"/>
      <c r="D33" s="93" t="s">
        <v>558</v>
      </c>
      <c r="E33" s="113" t="s">
        <v>515</v>
      </c>
      <c r="F33" s="93" t="s">
        <v>290</v>
      </c>
      <c r="G33" s="93" t="s">
        <v>138</v>
      </c>
      <c r="H33" s="113" t="s">
        <v>148</v>
      </c>
      <c r="I33" s="121" t="s">
        <v>242</v>
      </c>
      <c r="J33" s="121"/>
      <c r="K33" s="121" t="s">
        <v>149</v>
      </c>
      <c r="L33" s="94"/>
      <c r="M33" s="94"/>
      <c r="N33" s="74"/>
      <c r="O33" s="74"/>
      <c r="P33" s="74"/>
      <c r="Q33" s="74"/>
      <c r="R33" s="60"/>
    </row>
    <row r="34" spans="1:18" ht="39.6">
      <c r="A34" s="59"/>
      <c r="B34" s="93">
        <v>23</v>
      </c>
      <c r="C34" s="93"/>
      <c r="D34" s="93" t="s">
        <v>559</v>
      </c>
      <c r="E34" s="113" t="s">
        <v>515</v>
      </c>
      <c r="F34" s="93" t="s">
        <v>290</v>
      </c>
      <c r="G34" s="93" t="s">
        <v>142</v>
      </c>
      <c r="H34" s="113" t="s">
        <v>148</v>
      </c>
      <c r="I34" s="113" t="s">
        <v>243</v>
      </c>
      <c r="J34" s="113"/>
      <c r="K34" s="121" t="s">
        <v>151</v>
      </c>
      <c r="L34" s="94"/>
      <c r="M34" s="94"/>
      <c r="N34" s="74"/>
      <c r="O34" s="74"/>
      <c r="P34" s="74"/>
      <c r="Q34" s="74"/>
      <c r="R34" s="60"/>
    </row>
    <row r="35" spans="1:18" ht="52.8">
      <c r="A35" s="59"/>
      <c r="B35" s="93">
        <v>24</v>
      </c>
      <c r="C35" s="93"/>
      <c r="D35" s="93" t="s">
        <v>560</v>
      </c>
      <c r="E35" s="113" t="s">
        <v>515</v>
      </c>
      <c r="F35" s="93" t="s">
        <v>187</v>
      </c>
      <c r="G35" s="93" t="s">
        <v>142</v>
      </c>
      <c r="H35" s="113" t="s">
        <v>400</v>
      </c>
      <c r="I35" s="113" t="s">
        <v>399</v>
      </c>
      <c r="J35" s="113"/>
      <c r="K35" s="113" t="s">
        <v>231</v>
      </c>
      <c r="L35" s="94"/>
      <c r="M35" s="94"/>
      <c r="N35" s="112"/>
      <c r="O35" s="112"/>
      <c r="P35" s="112"/>
      <c r="Q35" s="112"/>
      <c r="R35" s="60"/>
    </row>
    <row r="36" spans="1:18" ht="52.8">
      <c r="A36" s="59"/>
      <c r="B36" s="93">
        <v>25</v>
      </c>
      <c r="C36" s="93"/>
      <c r="D36" s="93" t="s">
        <v>561</v>
      </c>
      <c r="E36" s="113" t="s">
        <v>515</v>
      </c>
      <c r="F36" s="93" t="s">
        <v>187</v>
      </c>
      <c r="G36" s="93" t="s">
        <v>142</v>
      </c>
      <c r="H36" s="113" t="s">
        <v>400</v>
      </c>
      <c r="I36" s="113" t="s">
        <v>399</v>
      </c>
      <c r="J36" s="113"/>
      <c r="K36" s="113" t="s">
        <v>229</v>
      </c>
      <c r="L36" s="94"/>
      <c r="M36" s="94"/>
      <c r="N36" s="112"/>
      <c r="O36" s="112"/>
      <c r="P36" s="112"/>
      <c r="Q36" s="112"/>
      <c r="R36" s="60"/>
    </row>
    <row r="37" spans="1:18" ht="39.6">
      <c r="A37" s="59"/>
      <c r="B37" s="93">
        <v>26</v>
      </c>
      <c r="C37" s="93"/>
      <c r="D37" s="93" t="s">
        <v>562</v>
      </c>
      <c r="E37" s="113" t="s">
        <v>515</v>
      </c>
      <c r="F37" s="93" t="s">
        <v>187</v>
      </c>
      <c r="G37" s="93" t="s">
        <v>142</v>
      </c>
      <c r="H37" s="113" t="s">
        <v>401</v>
      </c>
      <c r="I37" s="113" t="s">
        <v>240</v>
      </c>
      <c r="J37" s="121"/>
      <c r="K37" s="113" t="s">
        <v>246</v>
      </c>
      <c r="L37" s="113"/>
      <c r="M37" s="110"/>
      <c r="N37" s="110"/>
      <c r="O37" s="110"/>
      <c r="P37" s="112"/>
      <c r="Q37" s="112"/>
      <c r="R37" s="60"/>
    </row>
    <row r="38" spans="1:18" ht="26.4">
      <c r="A38" s="59"/>
      <c r="B38" s="93">
        <v>27</v>
      </c>
      <c r="C38" s="93"/>
      <c r="D38" s="93" t="s">
        <v>563</v>
      </c>
      <c r="E38" s="113" t="s">
        <v>515</v>
      </c>
      <c r="F38" s="93" t="s">
        <v>187</v>
      </c>
      <c r="G38" s="93" t="s">
        <v>142</v>
      </c>
      <c r="H38" s="113" t="s">
        <v>401</v>
      </c>
      <c r="I38" s="113" t="s">
        <v>407</v>
      </c>
      <c r="J38" s="113"/>
      <c r="K38" s="121" t="s">
        <v>236</v>
      </c>
      <c r="L38" s="113"/>
      <c r="M38" s="113"/>
      <c r="N38" s="113"/>
      <c r="O38" s="113"/>
      <c r="P38" s="112"/>
      <c r="Q38" s="112"/>
      <c r="R38" s="60"/>
    </row>
    <row r="39" spans="1:18" ht="26.4">
      <c r="A39" s="59"/>
      <c r="B39" s="93">
        <v>28</v>
      </c>
      <c r="C39" s="93"/>
      <c r="D39" s="93" t="s">
        <v>564</v>
      </c>
      <c r="E39" s="113" t="s">
        <v>515</v>
      </c>
      <c r="F39" s="93" t="s">
        <v>187</v>
      </c>
      <c r="G39" s="93" t="s">
        <v>142</v>
      </c>
      <c r="H39" s="113" t="s">
        <v>401</v>
      </c>
      <c r="I39" s="113" t="s">
        <v>408</v>
      </c>
      <c r="J39" s="113"/>
      <c r="K39" s="113" t="s">
        <v>237</v>
      </c>
      <c r="L39" s="113"/>
      <c r="M39" s="113"/>
      <c r="N39" s="113"/>
      <c r="O39" s="113"/>
      <c r="P39" s="112"/>
      <c r="Q39" s="112"/>
      <c r="R39" s="60"/>
    </row>
    <row r="40" spans="1:18" ht="39.6">
      <c r="A40" s="59"/>
      <c r="B40" s="93">
        <v>29</v>
      </c>
      <c r="C40" s="93"/>
      <c r="D40" s="93" t="s">
        <v>565</v>
      </c>
      <c r="E40" s="113" t="s">
        <v>515</v>
      </c>
      <c r="F40" s="93" t="s">
        <v>187</v>
      </c>
      <c r="G40" s="93" t="s">
        <v>136</v>
      </c>
      <c r="H40" s="113" t="s">
        <v>150</v>
      </c>
      <c r="I40" s="113" t="s">
        <v>409</v>
      </c>
      <c r="J40" s="113"/>
      <c r="K40" s="121" t="s">
        <v>151</v>
      </c>
      <c r="L40" s="94"/>
      <c r="M40" s="94"/>
      <c r="N40" s="112"/>
      <c r="O40" s="112"/>
      <c r="P40" s="112"/>
      <c r="Q40" s="112"/>
      <c r="R40" s="60"/>
    </row>
    <row r="41" spans="1:18" ht="39.6">
      <c r="A41" s="59"/>
      <c r="B41" s="93">
        <v>30</v>
      </c>
      <c r="C41" s="93"/>
      <c r="D41" s="93" t="s">
        <v>566</v>
      </c>
      <c r="E41" s="113" t="s">
        <v>515</v>
      </c>
      <c r="F41" s="93" t="s">
        <v>187</v>
      </c>
      <c r="G41" s="93" t="s">
        <v>142</v>
      </c>
      <c r="H41" s="113" t="s">
        <v>245</v>
      </c>
      <c r="I41" s="121" t="s">
        <v>238</v>
      </c>
      <c r="J41" s="121"/>
      <c r="K41" s="121" t="s">
        <v>233</v>
      </c>
      <c r="L41" s="94"/>
      <c r="M41" s="94"/>
      <c r="N41" s="112"/>
      <c r="O41" s="112"/>
      <c r="P41" s="112"/>
      <c r="Q41" s="112"/>
      <c r="R41" s="60"/>
    </row>
    <row r="42" spans="1:18" ht="52.8">
      <c r="A42" s="59"/>
      <c r="B42" s="93">
        <v>31</v>
      </c>
      <c r="C42" s="93"/>
      <c r="D42" s="93" t="s">
        <v>567</v>
      </c>
      <c r="E42" s="113" t="s">
        <v>515</v>
      </c>
      <c r="F42" s="93" t="s">
        <v>187</v>
      </c>
      <c r="G42" s="93" t="s">
        <v>142</v>
      </c>
      <c r="H42" s="113" t="s">
        <v>245</v>
      </c>
      <c r="I42" s="113" t="s">
        <v>235</v>
      </c>
      <c r="J42" s="113"/>
      <c r="K42" s="113" t="s">
        <v>234</v>
      </c>
      <c r="L42" s="94"/>
      <c r="M42" s="94"/>
      <c r="N42" s="112"/>
      <c r="O42" s="112"/>
      <c r="P42" s="112"/>
      <c r="Q42" s="112"/>
      <c r="R42" s="60"/>
    </row>
    <row r="43" spans="1:18" ht="39.6">
      <c r="A43" s="59"/>
      <c r="B43" s="93">
        <v>32</v>
      </c>
      <c r="C43" s="93"/>
      <c r="D43" s="93" t="s">
        <v>568</v>
      </c>
      <c r="E43" s="113" t="s">
        <v>515</v>
      </c>
      <c r="F43" s="93" t="s">
        <v>187</v>
      </c>
      <c r="G43" s="93" t="s">
        <v>142</v>
      </c>
      <c r="H43" s="113" t="s">
        <v>245</v>
      </c>
      <c r="I43" s="113" t="s">
        <v>239</v>
      </c>
      <c r="J43" s="113"/>
      <c r="K43" s="113" t="s">
        <v>232</v>
      </c>
      <c r="L43" s="94"/>
      <c r="M43" s="94"/>
      <c r="N43" s="112"/>
      <c r="O43" s="112"/>
      <c r="P43" s="112"/>
      <c r="Q43" s="112"/>
      <c r="R43" s="60"/>
    </row>
    <row r="44" spans="1:18" ht="52.8">
      <c r="A44" s="59"/>
      <c r="B44" s="93">
        <v>33</v>
      </c>
      <c r="C44" s="93" t="s">
        <v>337</v>
      </c>
      <c r="D44" s="93" t="s">
        <v>569</v>
      </c>
      <c r="E44" s="113" t="s">
        <v>515</v>
      </c>
      <c r="F44" s="93" t="s">
        <v>290</v>
      </c>
      <c r="G44" s="93" t="s">
        <v>142</v>
      </c>
      <c r="H44" s="113" t="s">
        <v>400</v>
      </c>
      <c r="I44" s="113" t="s">
        <v>399</v>
      </c>
      <c r="J44" s="113"/>
      <c r="K44" s="113" t="s">
        <v>231</v>
      </c>
      <c r="L44" s="94"/>
      <c r="M44" s="94"/>
      <c r="N44" s="112"/>
      <c r="O44" s="112"/>
      <c r="P44" s="112"/>
      <c r="Q44" s="112"/>
      <c r="R44" s="60"/>
    </row>
    <row r="45" spans="1:18" ht="52.8">
      <c r="A45" s="59"/>
      <c r="B45" s="93">
        <v>34</v>
      </c>
      <c r="C45" s="93"/>
      <c r="D45" s="93" t="s">
        <v>570</v>
      </c>
      <c r="E45" s="113" t="s">
        <v>515</v>
      </c>
      <c r="F45" s="93" t="s">
        <v>290</v>
      </c>
      <c r="G45" s="93" t="s">
        <v>142</v>
      </c>
      <c r="H45" s="113" t="s">
        <v>400</v>
      </c>
      <c r="I45" s="113" t="s">
        <v>399</v>
      </c>
      <c r="J45" s="113"/>
      <c r="K45" s="113" t="s">
        <v>229</v>
      </c>
      <c r="L45" s="94"/>
      <c r="M45" s="94"/>
      <c r="N45" s="112"/>
      <c r="O45" s="112"/>
      <c r="P45" s="112"/>
      <c r="Q45" s="112"/>
      <c r="R45" s="60"/>
    </row>
    <row r="46" spans="1:18" ht="52.8">
      <c r="A46" s="59"/>
      <c r="B46" s="93">
        <v>35</v>
      </c>
      <c r="C46" s="93"/>
      <c r="D46" s="93" t="s">
        <v>571</v>
      </c>
      <c r="E46" s="113" t="s">
        <v>515</v>
      </c>
      <c r="F46" s="93" t="s">
        <v>290</v>
      </c>
      <c r="G46" s="93" t="s">
        <v>142</v>
      </c>
      <c r="H46" s="113" t="s">
        <v>400</v>
      </c>
      <c r="I46" s="113" t="s">
        <v>399</v>
      </c>
      <c r="J46" s="113"/>
      <c r="K46" s="113" t="s">
        <v>230</v>
      </c>
      <c r="L46" s="94"/>
      <c r="M46" s="94"/>
      <c r="N46" s="112"/>
      <c r="O46" s="112"/>
      <c r="P46" s="112"/>
      <c r="Q46" s="112"/>
      <c r="R46" s="60"/>
    </row>
    <row r="47" spans="1:18" ht="39.6">
      <c r="A47" s="59"/>
      <c r="B47" s="93">
        <v>36</v>
      </c>
      <c r="C47" s="93"/>
      <c r="D47" s="93" t="s">
        <v>572</v>
      </c>
      <c r="E47" s="113" t="s">
        <v>515</v>
      </c>
      <c r="F47" s="93" t="s">
        <v>290</v>
      </c>
      <c r="G47" s="93" t="s">
        <v>142</v>
      </c>
      <c r="H47" s="113" t="s">
        <v>245</v>
      </c>
      <c r="I47" s="121" t="s">
        <v>238</v>
      </c>
      <c r="J47" s="121"/>
      <c r="K47" s="121" t="s">
        <v>233</v>
      </c>
      <c r="L47" s="94"/>
      <c r="M47" s="94"/>
      <c r="N47" s="112"/>
      <c r="O47" s="112"/>
      <c r="P47" s="112"/>
      <c r="Q47" s="112"/>
      <c r="R47" s="60"/>
    </row>
    <row r="48" spans="1:18" ht="52.8">
      <c r="A48" s="59"/>
      <c r="B48" s="93">
        <v>37</v>
      </c>
      <c r="C48" s="93"/>
      <c r="D48" s="93" t="s">
        <v>573</v>
      </c>
      <c r="E48" s="113" t="s">
        <v>515</v>
      </c>
      <c r="F48" s="93" t="s">
        <v>290</v>
      </c>
      <c r="G48" s="93" t="s">
        <v>142</v>
      </c>
      <c r="H48" s="113" t="s">
        <v>245</v>
      </c>
      <c r="I48" s="113" t="s">
        <v>235</v>
      </c>
      <c r="J48" s="113"/>
      <c r="K48" s="113" t="s">
        <v>234</v>
      </c>
      <c r="L48" s="94"/>
      <c r="M48" s="94"/>
      <c r="N48" s="112"/>
      <c r="O48" s="112"/>
      <c r="P48" s="112"/>
      <c r="Q48" s="112"/>
      <c r="R48" s="60"/>
    </row>
    <row r="49" spans="1:18" ht="39.6">
      <c r="A49" s="59"/>
      <c r="B49" s="93">
        <v>38</v>
      </c>
      <c r="C49" s="93"/>
      <c r="D49" s="93" t="s">
        <v>574</v>
      </c>
      <c r="E49" s="113" t="s">
        <v>515</v>
      </c>
      <c r="F49" s="93" t="s">
        <v>290</v>
      </c>
      <c r="G49" s="93" t="s">
        <v>142</v>
      </c>
      <c r="H49" s="113" t="s">
        <v>245</v>
      </c>
      <c r="I49" s="113" t="s">
        <v>239</v>
      </c>
      <c r="J49" s="113"/>
      <c r="K49" s="113" t="s">
        <v>232</v>
      </c>
      <c r="L49" s="94"/>
      <c r="M49" s="94"/>
      <c r="N49" s="112"/>
      <c r="O49" s="112"/>
      <c r="P49" s="112"/>
      <c r="Q49" s="112"/>
      <c r="R49" s="60"/>
    </row>
    <row r="50" spans="1:18" ht="39.6">
      <c r="A50" s="59"/>
      <c r="B50" s="93">
        <v>39</v>
      </c>
      <c r="C50" s="93"/>
      <c r="D50" s="93" t="s">
        <v>575</v>
      </c>
      <c r="E50" s="113" t="s">
        <v>515</v>
      </c>
      <c r="F50" s="93" t="s">
        <v>290</v>
      </c>
      <c r="G50" s="93" t="s">
        <v>136</v>
      </c>
      <c r="H50" s="113" t="s">
        <v>401</v>
      </c>
      <c r="I50" s="113" t="s">
        <v>240</v>
      </c>
      <c r="J50" s="121"/>
      <c r="K50" s="113" t="s">
        <v>172</v>
      </c>
      <c r="L50" s="94"/>
      <c r="M50" s="94"/>
      <c r="N50" s="112"/>
      <c r="O50" s="112"/>
      <c r="P50" s="112"/>
      <c r="Q50" s="112"/>
      <c r="R50" s="60"/>
    </row>
    <row r="51" spans="1:18" ht="26.4">
      <c r="A51" s="59"/>
      <c r="B51" s="93">
        <v>40</v>
      </c>
      <c r="C51" s="93"/>
      <c r="D51" s="93" t="s">
        <v>576</v>
      </c>
      <c r="E51" s="113" t="s">
        <v>515</v>
      </c>
      <c r="F51" s="93" t="s">
        <v>290</v>
      </c>
      <c r="G51" s="93" t="s">
        <v>142</v>
      </c>
      <c r="H51" s="113" t="s">
        <v>401</v>
      </c>
      <c r="I51" s="113" t="s">
        <v>406</v>
      </c>
      <c r="J51" s="113"/>
      <c r="K51" s="121" t="s">
        <v>236</v>
      </c>
      <c r="L51" s="94"/>
      <c r="M51" s="94"/>
      <c r="N51" s="112"/>
      <c r="O51" s="112"/>
      <c r="P51" s="112"/>
      <c r="Q51" s="112"/>
      <c r="R51" s="60"/>
    </row>
    <row r="52" spans="1:18" ht="26.4">
      <c r="A52" s="59"/>
      <c r="B52" s="93">
        <v>41</v>
      </c>
      <c r="C52" s="93"/>
      <c r="D52" s="93" t="s">
        <v>577</v>
      </c>
      <c r="E52" s="113" t="s">
        <v>515</v>
      </c>
      <c r="F52" s="93" t="s">
        <v>290</v>
      </c>
      <c r="G52" s="93" t="s">
        <v>142</v>
      </c>
      <c r="H52" s="113" t="s">
        <v>401</v>
      </c>
      <c r="I52" s="113" t="s">
        <v>410</v>
      </c>
      <c r="J52" s="113"/>
      <c r="K52" s="113" t="s">
        <v>237</v>
      </c>
      <c r="L52" s="94"/>
      <c r="M52" s="94"/>
      <c r="N52" s="112"/>
      <c r="O52" s="112"/>
      <c r="P52" s="112"/>
      <c r="Q52" s="112"/>
      <c r="R52" s="60"/>
    </row>
    <row r="53" spans="1:18" ht="66">
      <c r="A53" s="59"/>
      <c r="B53" s="93">
        <v>42</v>
      </c>
      <c r="C53" s="93"/>
      <c r="D53" s="93" t="s">
        <v>578</v>
      </c>
      <c r="E53" s="113" t="s">
        <v>515</v>
      </c>
      <c r="F53" s="93" t="s">
        <v>290</v>
      </c>
      <c r="G53" s="93" t="s">
        <v>142</v>
      </c>
      <c r="H53" s="113" t="s">
        <v>402</v>
      </c>
      <c r="I53" s="113" t="s">
        <v>241</v>
      </c>
      <c r="J53" s="121"/>
      <c r="K53" s="113" t="s">
        <v>405</v>
      </c>
      <c r="L53" s="94"/>
      <c r="M53" s="94"/>
      <c r="N53" s="112"/>
      <c r="O53" s="112"/>
      <c r="P53" s="112"/>
      <c r="Q53" s="112"/>
      <c r="R53" s="60"/>
    </row>
    <row r="54" spans="1:18" ht="52.8">
      <c r="A54" s="59"/>
      <c r="B54" s="93">
        <v>43</v>
      </c>
      <c r="C54" s="93"/>
      <c r="D54" s="93" t="s">
        <v>579</v>
      </c>
      <c r="E54" s="113" t="s">
        <v>515</v>
      </c>
      <c r="F54" s="93" t="s">
        <v>290</v>
      </c>
      <c r="G54" s="93" t="s">
        <v>142</v>
      </c>
      <c r="H54" s="113" t="s">
        <v>402</v>
      </c>
      <c r="I54" s="113" t="s">
        <v>403</v>
      </c>
      <c r="J54" s="113"/>
      <c r="K54" s="113" t="s">
        <v>237</v>
      </c>
      <c r="L54" s="94"/>
      <c r="M54" s="94"/>
      <c r="N54" s="112"/>
      <c r="O54" s="112"/>
      <c r="P54" s="112"/>
      <c r="Q54" s="112"/>
      <c r="R54" s="60"/>
    </row>
    <row r="55" spans="1:18" ht="52.8">
      <c r="A55" s="59"/>
      <c r="B55" s="93">
        <v>44</v>
      </c>
      <c r="C55" s="93"/>
      <c r="D55" s="93" t="s">
        <v>580</v>
      </c>
      <c r="E55" s="113" t="s">
        <v>515</v>
      </c>
      <c r="F55" s="93" t="s">
        <v>290</v>
      </c>
      <c r="G55" s="93" t="s">
        <v>138</v>
      </c>
      <c r="H55" s="113" t="s">
        <v>402</v>
      </c>
      <c r="I55" s="113" t="s">
        <v>404</v>
      </c>
      <c r="J55" s="113"/>
      <c r="K55" s="113" t="s">
        <v>244</v>
      </c>
      <c r="L55" s="94"/>
      <c r="M55" s="94"/>
      <c r="N55" s="112"/>
      <c r="O55" s="112"/>
      <c r="P55" s="112"/>
      <c r="Q55" s="112"/>
      <c r="R55" s="60"/>
    </row>
    <row r="56" spans="1:18" ht="26.4">
      <c r="A56" s="59"/>
      <c r="B56" s="93">
        <v>45</v>
      </c>
      <c r="C56" s="93"/>
      <c r="D56" s="93" t="s">
        <v>581</v>
      </c>
      <c r="E56" s="113" t="s">
        <v>515</v>
      </c>
      <c r="F56" s="93" t="s">
        <v>290</v>
      </c>
      <c r="G56" s="93" t="s">
        <v>138</v>
      </c>
      <c r="H56" s="113" t="s">
        <v>148</v>
      </c>
      <c r="I56" s="121" t="s">
        <v>242</v>
      </c>
      <c r="J56" s="121"/>
      <c r="K56" s="121" t="s">
        <v>149</v>
      </c>
      <c r="L56" s="94"/>
      <c r="M56" s="94"/>
      <c r="N56" s="112"/>
      <c r="O56" s="112"/>
      <c r="P56" s="112"/>
      <c r="Q56" s="112"/>
      <c r="R56" s="60"/>
    </row>
    <row r="57" spans="1:18" ht="39.6">
      <c r="A57" s="59"/>
      <c r="B57" s="93">
        <v>46</v>
      </c>
      <c r="C57" s="93"/>
      <c r="D57" s="93" t="s">
        <v>582</v>
      </c>
      <c r="E57" s="113" t="s">
        <v>515</v>
      </c>
      <c r="F57" s="93" t="s">
        <v>290</v>
      </c>
      <c r="G57" s="93" t="s">
        <v>142</v>
      </c>
      <c r="H57" s="113" t="s">
        <v>148</v>
      </c>
      <c r="I57" s="113" t="s">
        <v>243</v>
      </c>
      <c r="J57" s="113"/>
      <c r="K57" s="121" t="s">
        <v>151</v>
      </c>
      <c r="L57" s="94"/>
      <c r="M57" s="94"/>
      <c r="N57" s="112"/>
      <c r="O57" s="112"/>
      <c r="P57" s="112"/>
      <c r="Q57" s="112"/>
      <c r="R57" s="60"/>
    </row>
    <row r="58" spans="1:18" ht="52.8">
      <c r="A58" s="59"/>
      <c r="B58" s="93">
        <v>47</v>
      </c>
      <c r="C58" s="93"/>
      <c r="D58" s="93" t="s">
        <v>583</v>
      </c>
      <c r="E58" s="113" t="s">
        <v>515</v>
      </c>
      <c r="F58" s="93" t="s">
        <v>187</v>
      </c>
      <c r="G58" s="93" t="s">
        <v>142</v>
      </c>
      <c r="H58" s="113" t="s">
        <v>400</v>
      </c>
      <c r="I58" s="113" t="s">
        <v>399</v>
      </c>
      <c r="J58" s="113"/>
      <c r="K58" s="113" t="s">
        <v>231</v>
      </c>
      <c r="L58" s="94"/>
      <c r="M58" s="94"/>
      <c r="N58" s="112"/>
      <c r="O58" s="112"/>
      <c r="P58" s="112"/>
      <c r="Q58" s="112"/>
      <c r="R58" s="60"/>
    </row>
    <row r="59" spans="1:18" ht="52.8">
      <c r="A59" s="59"/>
      <c r="B59" s="93">
        <v>48</v>
      </c>
      <c r="C59" s="93"/>
      <c r="D59" s="93" t="s">
        <v>584</v>
      </c>
      <c r="E59" s="113" t="s">
        <v>515</v>
      </c>
      <c r="F59" s="93" t="s">
        <v>187</v>
      </c>
      <c r="G59" s="93" t="s">
        <v>142</v>
      </c>
      <c r="H59" s="113" t="s">
        <v>400</v>
      </c>
      <c r="I59" s="113" t="s">
        <v>399</v>
      </c>
      <c r="J59" s="113"/>
      <c r="K59" s="113" t="s">
        <v>229</v>
      </c>
      <c r="L59" s="94"/>
      <c r="M59" s="94"/>
      <c r="N59" s="112"/>
      <c r="O59" s="112"/>
      <c r="P59" s="112"/>
      <c r="Q59" s="112"/>
      <c r="R59" s="60"/>
    </row>
    <row r="60" spans="1:18" ht="39.6">
      <c r="A60" s="59"/>
      <c r="B60" s="93">
        <v>49</v>
      </c>
      <c r="C60" s="93"/>
      <c r="D60" s="93" t="s">
        <v>585</v>
      </c>
      <c r="E60" s="113" t="s">
        <v>515</v>
      </c>
      <c r="F60" s="93" t="s">
        <v>187</v>
      </c>
      <c r="G60" s="93" t="s">
        <v>142</v>
      </c>
      <c r="H60" s="113" t="s">
        <v>401</v>
      </c>
      <c r="I60" s="113" t="s">
        <v>240</v>
      </c>
      <c r="J60" s="121"/>
      <c r="K60" s="113" t="s">
        <v>246</v>
      </c>
      <c r="L60" s="94"/>
      <c r="M60" s="94"/>
      <c r="N60" s="112"/>
      <c r="O60" s="112"/>
      <c r="P60" s="112"/>
      <c r="Q60" s="112"/>
      <c r="R60" s="60"/>
    </row>
    <row r="61" spans="1:18" ht="26.4">
      <c r="A61" s="59"/>
      <c r="B61" s="93">
        <v>50</v>
      </c>
      <c r="C61" s="93"/>
      <c r="D61" s="93" t="s">
        <v>586</v>
      </c>
      <c r="E61" s="113" t="s">
        <v>515</v>
      </c>
      <c r="F61" s="93" t="s">
        <v>187</v>
      </c>
      <c r="G61" s="93" t="s">
        <v>142</v>
      </c>
      <c r="H61" s="113" t="s">
        <v>401</v>
      </c>
      <c r="I61" s="113" t="s">
        <v>407</v>
      </c>
      <c r="J61" s="113"/>
      <c r="K61" s="121" t="s">
        <v>236</v>
      </c>
      <c r="L61" s="94"/>
      <c r="M61" s="94"/>
      <c r="N61" s="112"/>
      <c r="O61" s="112"/>
      <c r="P61" s="112"/>
      <c r="Q61" s="112"/>
      <c r="R61" s="60"/>
    </row>
    <row r="62" spans="1:18" ht="26.4">
      <c r="A62" s="59"/>
      <c r="B62" s="93">
        <v>51</v>
      </c>
      <c r="C62" s="93"/>
      <c r="D62" s="93" t="s">
        <v>587</v>
      </c>
      <c r="E62" s="113" t="s">
        <v>515</v>
      </c>
      <c r="F62" s="93" t="s">
        <v>187</v>
      </c>
      <c r="G62" s="93" t="s">
        <v>142</v>
      </c>
      <c r="H62" s="113" t="s">
        <v>401</v>
      </c>
      <c r="I62" s="113" t="s">
        <v>408</v>
      </c>
      <c r="J62" s="113"/>
      <c r="K62" s="113" t="s">
        <v>237</v>
      </c>
      <c r="L62" s="94"/>
      <c r="M62" s="94"/>
      <c r="N62" s="112"/>
      <c r="O62" s="112"/>
      <c r="P62" s="112"/>
      <c r="Q62" s="112"/>
      <c r="R62" s="60"/>
    </row>
    <row r="63" spans="1:18" ht="39.6">
      <c r="A63" s="59"/>
      <c r="B63" s="93">
        <v>52</v>
      </c>
      <c r="C63" s="93"/>
      <c r="D63" s="93" t="s">
        <v>588</v>
      </c>
      <c r="E63" s="113" t="s">
        <v>515</v>
      </c>
      <c r="F63" s="93" t="s">
        <v>187</v>
      </c>
      <c r="G63" s="93" t="s">
        <v>136</v>
      </c>
      <c r="H63" s="113" t="s">
        <v>150</v>
      </c>
      <c r="I63" s="113" t="s">
        <v>409</v>
      </c>
      <c r="J63" s="113"/>
      <c r="K63" s="121" t="s">
        <v>151</v>
      </c>
      <c r="L63" s="94"/>
      <c r="M63" s="94"/>
      <c r="N63" s="112"/>
      <c r="O63" s="112"/>
      <c r="P63" s="112"/>
      <c r="Q63" s="112"/>
      <c r="R63" s="60"/>
    </row>
    <row r="64" spans="1:18" ht="39.6">
      <c r="A64" s="59"/>
      <c r="B64" s="93">
        <v>53</v>
      </c>
      <c r="C64" s="93"/>
      <c r="D64" s="93" t="s">
        <v>589</v>
      </c>
      <c r="E64" s="113" t="s">
        <v>515</v>
      </c>
      <c r="F64" s="93" t="s">
        <v>187</v>
      </c>
      <c r="G64" s="93" t="s">
        <v>142</v>
      </c>
      <c r="H64" s="113" t="s">
        <v>245</v>
      </c>
      <c r="I64" s="121" t="s">
        <v>238</v>
      </c>
      <c r="J64" s="121"/>
      <c r="K64" s="121" t="s">
        <v>233</v>
      </c>
      <c r="L64" s="94"/>
      <c r="M64" s="94"/>
      <c r="N64" s="112"/>
      <c r="O64" s="112"/>
      <c r="P64" s="112"/>
      <c r="Q64" s="112"/>
      <c r="R64" s="60"/>
    </row>
    <row r="65" spans="1:18" ht="52.8">
      <c r="A65" s="59"/>
      <c r="B65" s="93">
        <v>54</v>
      </c>
      <c r="C65" s="93"/>
      <c r="D65" s="93" t="s">
        <v>590</v>
      </c>
      <c r="E65" s="113" t="s">
        <v>515</v>
      </c>
      <c r="F65" s="93" t="s">
        <v>187</v>
      </c>
      <c r="G65" s="93" t="s">
        <v>142</v>
      </c>
      <c r="H65" s="113" t="s">
        <v>245</v>
      </c>
      <c r="I65" s="113" t="s">
        <v>235</v>
      </c>
      <c r="J65" s="113"/>
      <c r="K65" s="113" t="s">
        <v>234</v>
      </c>
      <c r="L65" s="94"/>
      <c r="M65" s="94"/>
      <c r="N65" s="112"/>
      <c r="O65" s="112"/>
      <c r="P65" s="112"/>
      <c r="Q65" s="112"/>
      <c r="R65" s="60"/>
    </row>
    <row r="66" spans="1:18" ht="39.6">
      <c r="A66" s="59"/>
      <c r="B66" s="93">
        <v>55</v>
      </c>
      <c r="C66" s="93"/>
      <c r="D66" s="93" t="s">
        <v>591</v>
      </c>
      <c r="E66" s="113" t="s">
        <v>515</v>
      </c>
      <c r="F66" s="93" t="s">
        <v>187</v>
      </c>
      <c r="G66" s="93" t="s">
        <v>142</v>
      </c>
      <c r="H66" s="113" t="s">
        <v>245</v>
      </c>
      <c r="I66" s="113" t="s">
        <v>239</v>
      </c>
      <c r="J66" s="113"/>
      <c r="K66" s="113" t="s">
        <v>232</v>
      </c>
      <c r="L66" s="94"/>
      <c r="M66" s="94"/>
      <c r="N66" s="112"/>
      <c r="O66" s="112"/>
      <c r="P66" s="112"/>
      <c r="Q66" s="112"/>
      <c r="R66" s="60"/>
    </row>
    <row r="67" spans="1:18">
      <c r="A67" s="59"/>
      <c r="B67" s="93"/>
      <c r="C67" s="93"/>
      <c r="D67" s="93"/>
      <c r="E67" s="93"/>
      <c r="F67" s="93"/>
      <c r="G67" s="93"/>
      <c r="H67" s="113"/>
      <c r="I67" s="113"/>
      <c r="J67" s="93"/>
      <c r="K67" s="93"/>
      <c r="L67" s="94"/>
      <c r="M67" s="94"/>
      <c r="N67" s="112"/>
      <c r="O67" s="112"/>
      <c r="P67" s="112"/>
      <c r="Q67" s="112"/>
      <c r="R67" s="60"/>
    </row>
    <row r="68" spans="1:18">
      <c r="A68" s="59"/>
      <c r="B68" s="93"/>
      <c r="C68" s="93"/>
      <c r="D68" s="93"/>
      <c r="E68" s="97"/>
      <c r="F68" s="95"/>
      <c r="G68" s="95"/>
      <c r="H68" s="95"/>
      <c r="I68" s="96"/>
      <c r="J68" s="97"/>
      <c r="K68" s="97"/>
      <c r="L68" s="98"/>
      <c r="M68" s="98"/>
      <c r="N68" s="74"/>
      <c r="O68" s="74"/>
      <c r="P68" s="74"/>
      <c r="Q68" s="74"/>
      <c r="R68" s="60"/>
    </row>
    <row r="69" spans="1:18">
      <c r="B69" s="65"/>
      <c r="C69" s="65"/>
      <c r="D69" s="65"/>
      <c r="E69" s="65"/>
      <c r="F69" s="65"/>
      <c r="G69" s="65"/>
      <c r="H69" s="65"/>
      <c r="I69" s="65"/>
      <c r="J69" s="66"/>
      <c r="K69" s="66"/>
      <c r="L69" s="66"/>
      <c r="M69" s="66"/>
      <c r="N69" s="66"/>
      <c r="O69" s="66"/>
      <c r="P69" s="66"/>
      <c r="Q69" s="66"/>
    </row>
  </sheetData>
  <mergeCells count="7">
    <mergeCell ref="C2:K2"/>
    <mergeCell ref="B9:K9"/>
    <mergeCell ref="B4:K4"/>
    <mergeCell ref="B5:K5"/>
    <mergeCell ref="B6:K6"/>
    <mergeCell ref="B7:K7"/>
    <mergeCell ref="B8:K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567C-2AD9-43B6-8CE1-A8625305F8E9}">
  <sheetPr codeName="Sheet8">
    <pageSetUpPr fitToPage="1"/>
  </sheetPr>
  <dimension ref="A1:R83"/>
  <sheetViews>
    <sheetView topLeftCell="B1" zoomScaleNormal="100" workbookViewId="0">
      <selection activeCell="B7" sqref="B7:K7"/>
    </sheetView>
  </sheetViews>
  <sheetFormatPr defaultColWidth="8.8984375" defaultRowHeight="15.6"/>
  <cols>
    <col min="1" max="1" width="2.69921875" style="54" customWidth="1"/>
    <col min="2" max="2" width="6" style="55" customWidth="1"/>
    <col min="3" max="4" width="10" style="55" customWidth="1"/>
    <col min="5" max="5" width="13.59765625" style="55" customWidth="1"/>
    <col min="6" max="7" width="5.69921875" style="55" customWidth="1"/>
    <col min="8" max="8" width="18.3984375" style="55" customWidth="1"/>
    <col min="9" max="9" width="26" style="55" customWidth="1"/>
    <col min="10" max="10" width="25" style="54" customWidth="1"/>
    <col min="11" max="11" width="31.3984375" style="54" customWidth="1"/>
    <col min="12" max="13" width="8.69921875" style="54" customWidth="1"/>
    <col min="14" max="14" width="9.09765625" style="54" customWidth="1"/>
    <col min="15" max="15" width="30.69921875" style="54" customWidth="1"/>
    <col min="16" max="16" width="10.59765625" style="54" bestFit="1" customWidth="1"/>
    <col min="17" max="16384" width="8.8984375" style="54"/>
  </cols>
  <sheetData>
    <row r="1" spans="1:18" ht="66" customHeight="1">
      <c r="B1" s="56"/>
      <c r="C1" s="56"/>
      <c r="D1" s="56"/>
      <c r="E1" s="56"/>
      <c r="F1" s="57"/>
      <c r="G1" s="57"/>
      <c r="H1" s="57"/>
      <c r="I1" s="57"/>
      <c r="J1" s="58"/>
      <c r="K1" s="58"/>
    </row>
    <row r="2" spans="1:18" ht="57.6" customHeight="1">
      <c r="A2" s="59"/>
      <c r="B2" s="120" t="s">
        <v>212</v>
      </c>
      <c r="C2" s="154" t="s">
        <v>211</v>
      </c>
      <c r="D2" s="155"/>
      <c r="E2" s="155"/>
      <c r="F2" s="155"/>
      <c r="G2" s="155"/>
      <c r="H2" s="155"/>
      <c r="I2" s="155"/>
      <c r="J2" s="155"/>
      <c r="K2" s="156"/>
      <c r="L2" s="62"/>
      <c r="M2" s="63"/>
      <c r="N2" s="63"/>
      <c r="O2" s="63"/>
      <c r="P2" s="63"/>
    </row>
    <row r="3" spans="1:18" ht="7.5" customHeight="1">
      <c r="B3" s="92"/>
      <c r="C3" s="92"/>
      <c r="D3" s="92"/>
      <c r="E3" s="92"/>
      <c r="F3" s="82"/>
      <c r="G3" s="82"/>
      <c r="H3" s="82"/>
      <c r="I3" s="82"/>
      <c r="J3" s="83"/>
      <c r="K3" s="83"/>
    </row>
    <row r="4" spans="1:18">
      <c r="A4" s="59"/>
      <c r="B4" s="159" t="s">
        <v>113</v>
      </c>
      <c r="C4" s="159"/>
      <c r="D4" s="159"/>
      <c r="E4" s="159"/>
      <c r="F4" s="159"/>
      <c r="G4" s="159"/>
      <c r="H4" s="159"/>
      <c r="I4" s="159"/>
      <c r="J4" s="159"/>
      <c r="K4" s="159"/>
      <c r="L4" s="60"/>
    </row>
    <row r="5" spans="1:18" s="63" customFormat="1" ht="28.8" customHeight="1">
      <c r="A5" s="61"/>
      <c r="B5" s="157" t="s">
        <v>288</v>
      </c>
      <c r="C5" s="157"/>
      <c r="D5" s="157"/>
      <c r="E5" s="158"/>
      <c r="F5" s="158"/>
      <c r="G5" s="158"/>
      <c r="H5" s="158"/>
      <c r="I5" s="158"/>
      <c r="J5" s="158"/>
      <c r="K5" s="158"/>
      <c r="L5" s="62"/>
    </row>
    <row r="6" spans="1:18">
      <c r="A6" s="59"/>
      <c r="B6" s="159" t="s">
        <v>102</v>
      </c>
      <c r="C6" s="159"/>
      <c r="D6" s="159"/>
      <c r="E6" s="159"/>
      <c r="F6" s="159"/>
      <c r="G6" s="159"/>
      <c r="H6" s="159"/>
      <c r="I6" s="159"/>
      <c r="J6" s="159"/>
      <c r="K6" s="159"/>
      <c r="L6" s="60"/>
    </row>
    <row r="7" spans="1:18" ht="94.95" customHeight="1">
      <c r="A7" s="59"/>
      <c r="B7" s="157" t="s">
        <v>660</v>
      </c>
      <c r="C7" s="157"/>
      <c r="D7" s="157"/>
      <c r="E7" s="158"/>
      <c r="F7" s="158"/>
      <c r="G7" s="158"/>
      <c r="H7" s="158"/>
      <c r="I7" s="158"/>
      <c r="J7" s="158"/>
      <c r="K7" s="158"/>
      <c r="L7" s="60"/>
    </row>
    <row r="8" spans="1:18">
      <c r="A8" s="59"/>
      <c r="B8" s="159" t="s">
        <v>114</v>
      </c>
      <c r="C8" s="159"/>
      <c r="D8" s="159"/>
      <c r="E8" s="159"/>
      <c r="F8" s="159"/>
      <c r="G8" s="159"/>
      <c r="H8" s="159"/>
      <c r="I8" s="159"/>
      <c r="J8" s="159"/>
      <c r="K8" s="159"/>
      <c r="L8" s="60"/>
    </row>
    <row r="9" spans="1:18" ht="73.349999999999994" customHeight="1">
      <c r="A9" s="59"/>
      <c r="B9" s="157" t="s">
        <v>455</v>
      </c>
      <c r="C9" s="158"/>
      <c r="D9" s="158"/>
      <c r="E9" s="158"/>
      <c r="F9" s="158"/>
      <c r="G9" s="158"/>
      <c r="H9" s="158"/>
      <c r="I9" s="158"/>
      <c r="J9" s="158"/>
      <c r="K9" s="158"/>
      <c r="L9" s="60"/>
    </row>
    <row r="10" spans="1:18" ht="10.050000000000001" customHeight="1">
      <c r="B10" s="92"/>
      <c r="C10" s="92"/>
      <c r="D10" s="92"/>
      <c r="E10" s="92"/>
      <c r="F10" s="82"/>
      <c r="G10" s="82"/>
      <c r="H10" s="82"/>
      <c r="I10" s="82"/>
      <c r="J10" s="83"/>
      <c r="K10" s="83"/>
      <c r="L10" s="58"/>
      <c r="M10" s="58"/>
      <c r="N10" s="58"/>
      <c r="O10" s="58"/>
      <c r="P10" s="58"/>
      <c r="Q10" s="58"/>
    </row>
    <row r="11" spans="1:18">
      <c r="A11" s="59"/>
      <c r="B11" s="100" t="s">
        <v>167</v>
      </c>
      <c r="C11" s="100" t="s">
        <v>168</v>
      </c>
      <c r="D11" s="100" t="s">
        <v>61</v>
      </c>
      <c r="E11" s="100" t="s">
        <v>116</v>
      </c>
      <c r="F11" s="100" t="s">
        <v>103</v>
      </c>
      <c r="G11" s="100" t="s">
        <v>104</v>
      </c>
      <c r="H11" s="100" t="s">
        <v>105</v>
      </c>
      <c r="I11" s="100" t="s">
        <v>117</v>
      </c>
      <c r="J11" s="100" t="s">
        <v>106</v>
      </c>
      <c r="K11" s="100" t="s">
        <v>107</v>
      </c>
      <c r="L11" s="64" t="s">
        <v>108</v>
      </c>
      <c r="M11" s="64" t="s">
        <v>109</v>
      </c>
      <c r="N11" s="64" t="s">
        <v>110</v>
      </c>
      <c r="O11" s="64" t="s">
        <v>111</v>
      </c>
      <c r="P11" s="64" t="s">
        <v>115</v>
      </c>
      <c r="Q11" s="64" t="s">
        <v>112</v>
      </c>
      <c r="R11" s="60"/>
    </row>
    <row r="12" spans="1:18" ht="39.6">
      <c r="A12" s="59"/>
      <c r="B12" s="93">
        <v>1</v>
      </c>
      <c r="C12" s="93" t="s">
        <v>328</v>
      </c>
      <c r="D12" s="93" t="s">
        <v>592</v>
      </c>
      <c r="E12" s="113" t="s">
        <v>483</v>
      </c>
      <c r="F12" s="93" t="s">
        <v>290</v>
      </c>
      <c r="G12" s="93" t="s">
        <v>136</v>
      </c>
      <c r="H12" s="113" t="s">
        <v>437</v>
      </c>
      <c r="I12" s="113" t="s">
        <v>253</v>
      </c>
      <c r="J12" s="117"/>
      <c r="K12" s="117" t="s">
        <v>250</v>
      </c>
      <c r="L12" s="94"/>
      <c r="M12" s="94"/>
      <c r="N12" s="74"/>
      <c r="O12" s="74"/>
      <c r="P12" s="74"/>
      <c r="Q12" s="74"/>
      <c r="R12" s="60"/>
    </row>
    <row r="13" spans="1:18" ht="26.4">
      <c r="A13" s="59"/>
      <c r="B13" s="93">
        <v>2</v>
      </c>
      <c r="C13" s="93"/>
      <c r="D13" s="93" t="s">
        <v>593</v>
      </c>
      <c r="E13" s="113" t="s">
        <v>483</v>
      </c>
      <c r="F13" s="93" t="s">
        <v>290</v>
      </c>
      <c r="G13" s="93" t="s">
        <v>136</v>
      </c>
      <c r="H13" s="113" t="s">
        <v>437</v>
      </c>
      <c r="I13" s="113" t="s">
        <v>254</v>
      </c>
      <c r="J13" s="117"/>
      <c r="K13" s="113" t="s">
        <v>247</v>
      </c>
      <c r="L13" s="94"/>
      <c r="M13" s="94"/>
      <c r="N13" s="112"/>
      <c r="O13" s="112"/>
      <c r="P13" s="112"/>
      <c r="Q13" s="112"/>
      <c r="R13" s="60"/>
    </row>
    <row r="14" spans="1:18" ht="26.4">
      <c r="A14" s="59"/>
      <c r="B14" s="93">
        <v>3</v>
      </c>
      <c r="C14" s="93"/>
      <c r="D14" s="93" t="s">
        <v>594</v>
      </c>
      <c r="E14" s="113" t="s">
        <v>483</v>
      </c>
      <c r="F14" s="93" t="s">
        <v>290</v>
      </c>
      <c r="G14" s="93" t="s">
        <v>136</v>
      </c>
      <c r="H14" s="113" t="s">
        <v>152</v>
      </c>
      <c r="I14" s="113" t="s">
        <v>255</v>
      </c>
      <c r="J14" s="117" t="s">
        <v>449</v>
      </c>
      <c r="K14" s="117" t="s">
        <v>248</v>
      </c>
      <c r="L14" s="94"/>
      <c r="M14" s="94"/>
      <c r="N14" s="74"/>
      <c r="O14" s="74"/>
      <c r="P14" s="74"/>
      <c r="Q14" s="74"/>
      <c r="R14" s="60"/>
    </row>
    <row r="15" spans="1:18" ht="26.4">
      <c r="A15" s="59"/>
      <c r="B15" s="93">
        <v>4</v>
      </c>
      <c r="C15" s="93"/>
      <c r="D15" s="93" t="s">
        <v>595</v>
      </c>
      <c r="E15" s="113" t="s">
        <v>483</v>
      </c>
      <c r="F15" s="93" t="s">
        <v>290</v>
      </c>
      <c r="G15" s="93" t="s">
        <v>142</v>
      </c>
      <c r="H15" s="113" t="s">
        <v>153</v>
      </c>
      <c r="I15" s="113" t="s">
        <v>256</v>
      </c>
      <c r="J15" s="117"/>
      <c r="K15" s="117" t="s">
        <v>251</v>
      </c>
      <c r="L15" s="94"/>
      <c r="M15" s="94"/>
      <c r="N15" s="74"/>
      <c r="O15" s="74"/>
      <c r="P15" s="74"/>
      <c r="Q15" s="74"/>
      <c r="R15" s="60"/>
    </row>
    <row r="16" spans="1:18" ht="39.6">
      <c r="A16" s="59"/>
      <c r="B16" s="93">
        <v>5</v>
      </c>
      <c r="C16" s="93"/>
      <c r="D16" s="93" t="s">
        <v>596</v>
      </c>
      <c r="E16" s="113" t="s">
        <v>483</v>
      </c>
      <c r="F16" s="93" t="s">
        <v>290</v>
      </c>
      <c r="G16" s="93" t="s">
        <v>142</v>
      </c>
      <c r="H16" s="113" t="s">
        <v>153</v>
      </c>
      <c r="I16" s="113" t="s">
        <v>438</v>
      </c>
      <c r="J16" s="113"/>
      <c r="K16" s="113" t="s">
        <v>252</v>
      </c>
      <c r="L16" s="94"/>
      <c r="M16" s="94"/>
      <c r="N16" s="112"/>
      <c r="O16" s="112"/>
      <c r="P16" s="112"/>
      <c r="Q16" s="112"/>
      <c r="R16" s="60"/>
    </row>
    <row r="17" spans="1:18" ht="26.4">
      <c r="A17" s="59"/>
      <c r="B17" s="93">
        <v>6</v>
      </c>
      <c r="C17" s="93"/>
      <c r="D17" s="93" t="s">
        <v>597</v>
      </c>
      <c r="E17" s="113" t="s">
        <v>483</v>
      </c>
      <c r="F17" s="93" t="s">
        <v>290</v>
      </c>
      <c r="G17" s="93" t="s">
        <v>142</v>
      </c>
      <c r="H17" s="113" t="s">
        <v>154</v>
      </c>
      <c r="I17" s="113" t="s">
        <v>257</v>
      </c>
      <c r="J17" s="117"/>
      <c r="K17" s="117" t="s">
        <v>259</v>
      </c>
      <c r="L17" s="94"/>
      <c r="M17" s="94"/>
      <c r="N17" s="74"/>
      <c r="O17" s="74"/>
      <c r="P17" s="74"/>
      <c r="Q17" s="74"/>
      <c r="R17" s="60"/>
    </row>
    <row r="18" spans="1:18" ht="39.6">
      <c r="A18" s="59"/>
      <c r="B18" s="93">
        <v>7</v>
      </c>
      <c r="C18" s="93"/>
      <c r="D18" s="93" t="s">
        <v>598</v>
      </c>
      <c r="E18" s="113" t="s">
        <v>483</v>
      </c>
      <c r="F18" s="93" t="s">
        <v>290</v>
      </c>
      <c r="G18" s="93" t="s">
        <v>142</v>
      </c>
      <c r="H18" s="113" t="s">
        <v>154</v>
      </c>
      <c r="I18" s="113" t="s">
        <v>439</v>
      </c>
      <c r="J18" s="113"/>
      <c r="K18" s="113" t="s">
        <v>260</v>
      </c>
      <c r="L18" s="94"/>
      <c r="M18" s="94"/>
      <c r="N18" s="112"/>
      <c r="O18" s="112"/>
      <c r="P18" s="112"/>
      <c r="Q18" s="112"/>
      <c r="R18" s="60"/>
    </row>
    <row r="19" spans="1:18" ht="52.8">
      <c r="A19" s="59"/>
      <c r="B19" s="93">
        <v>8</v>
      </c>
      <c r="C19" s="93"/>
      <c r="D19" s="93" t="s">
        <v>599</v>
      </c>
      <c r="E19" s="113" t="s">
        <v>483</v>
      </c>
      <c r="F19" s="93" t="s">
        <v>290</v>
      </c>
      <c r="G19" s="93" t="s">
        <v>138</v>
      </c>
      <c r="H19" s="113" t="s">
        <v>443</v>
      </c>
      <c r="I19" s="113" t="s">
        <v>440</v>
      </c>
      <c r="J19" s="117"/>
      <c r="K19" s="118" t="s">
        <v>258</v>
      </c>
      <c r="L19" s="94"/>
      <c r="M19" s="94"/>
      <c r="N19" s="74"/>
      <c r="O19" s="74"/>
      <c r="P19" s="74"/>
      <c r="Q19" s="74"/>
      <c r="R19" s="60"/>
    </row>
    <row r="20" spans="1:18" ht="26.4">
      <c r="A20" s="59"/>
      <c r="B20" s="93">
        <v>9</v>
      </c>
      <c r="C20" s="93"/>
      <c r="D20" s="93" t="s">
        <v>600</v>
      </c>
      <c r="E20" s="113" t="s">
        <v>483</v>
      </c>
      <c r="F20" s="93" t="s">
        <v>290</v>
      </c>
      <c r="G20" s="93" t="s">
        <v>142</v>
      </c>
      <c r="H20" s="113" t="s">
        <v>443</v>
      </c>
      <c r="I20" s="113" t="s">
        <v>289</v>
      </c>
      <c r="J20" s="113"/>
      <c r="K20" s="113" t="s">
        <v>249</v>
      </c>
      <c r="L20" s="94"/>
      <c r="M20" s="94"/>
      <c r="N20" s="74"/>
      <c r="O20" s="74"/>
      <c r="P20" s="74"/>
      <c r="Q20" s="74"/>
      <c r="R20" s="60"/>
    </row>
    <row r="21" spans="1:18" ht="39.6">
      <c r="A21" s="59"/>
      <c r="B21" s="93">
        <v>10</v>
      </c>
      <c r="C21" s="93"/>
      <c r="D21" s="93" t="s">
        <v>601</v>
      </c>
      <c r="E21" s="113" t="s">
        <v>483</v>
      </c>
      <c r="F21" s="93" t="s">
        <v>442</v>
      </c>
      <c r="G21" s="93" t="s">
        <v>142</v>
      </c>
      <c r="H21" s="113" t="s">
        <v>325</v>
      </c>
      <c r="I21" s="113" t="s">
        <v>441</v>
      </c>
      <c r="J21" s="113"/>
      <c r="K21" s="113" t="s">
        <v>249</v>
      </c>
      <c r="L21" s="94"/>
      <c r="M21" s="94"/>
      <c r="N21" s="74"/>
      <c r="O21" s="74"/>
      <c r="P21" s="74"/>
      <c r="Q21" s="74"/>
      <c r="R21" s="60"/>
    </row>
    <row r="22" spans="1:18" ht="39.6">
      <c r="A22" s="59"/>
      <c r="B22" s="93">
        <v>11</v>
      </c>
      <c r="C22" s="93"/>
      <c r="D22" s="93" t="s">
        <v>602</v>
      </c>
      <c r="E22" s="113" t="s">
        <v>483</v>
      </c>
      <c r="F22" s="93" t="s">
        <v>444</v>
      </c>
      <c r="G22" s="93" t="s">
        <v>136</v>
      </c>
      <c r="H22" s="113" t="s">
        <v>437</v>
      </c>
      <c r="I22" s="113" t="s">
        <v>253</v>
      </c>
      <c r="J22" s="117"/>
      <c r="K22" s="117" t="s">
        <v>250</v>
      </c>
      <c r="L22" s="94"/>
      <c r="M22" s="94"/>
      <c r="N22" s="74"/>
      <c r="O22" s="74"/>
      <c r="P22" s="74"/>
      <c r="Q22" s="74"/>
      <c r="R22" s="60"/>
    </row>
    <row r="23" spans="1:18" ht="26.4">
      <c r="A23" s="59"/>
      <c r="B23" s="93">
        <v>12</v>
      </c>
      <c r="C23" s="93"/>
      <c r="D23" s="93" t="s">
        <v>603</v>
      </c>
      <c r="E23" s="113" t="s">
        <v>483</v>
      </c>
      <c r="F23" s="93" t="s">
        <v>444</v>
      </c>
      <c r="G23" s="93" t="s">
        <v>136</v>
      </c>
      <c r="H23" s="113" t="s">
        <v>437</v>
      </c>
      <c r="I23" s="113" t="s">
        <v>254</v>
      </c>
      <c r="J23" s="117"/>
      <c r="K23" s="113" t="s">
        <v>247</v>
      </c>
      <c r="L23" s="94"/>
      <c r="M23" s="94"/>
      <c r="N23" s="74"/>
      <c r="O23" s="74"/>
      <c r="P23" s="74"/>
      <c r="Q23" s="74"/>
      <c r="R23" s="60"/>
    </row>
    <row r="24" spans="1:18" ht="26.4">
      <c r="A24" s="59"/>
      <c r="B24" s="93">
        <v>13</v>
      </c>
      <c r="C24" s="93"/>
      <c r="D24" s="93" t="s">
        <v>604</v>
      </c>
      <c r="E24" s="113" t="s">
        <v>483</v>
      </c>
      <c r="F24" s="93" t="s">
        <v>444</v>
      </c>
      <c r="G24" s="93" t="s">
        <v>136</v>
      </c>
      <c r="H24" s="113" t="s">
        <v>152</v>
      </c>
      <c r="I24" s="113" t="s">
        <v>255</v>
      </c>
      <c r="J24" s="117" t="s">
        <v>449</v>
      </c>
      <c r="K24" s="117" t="s">
        <v>248</v>
      </c>
      <c r="L24" s="94"/>
      <c r="M24" s="94"/>
      <c r="N24" s="112"/>
      <c r="O24" s="112"/>
      <c r="P24" s="112"/>
      <c r="Q24" s="112"/>
      <c r="R24" s="60"/>
    </row>
    <row r="25" spans="1:18" ht="26.4">
      <c r="A25" s="59"/>
      <c r="B25" s="93">
        <v>14</v>
      </c>
      <c r="C25" s="93"/>
      <c r="D25" s="93" t="s">
        <v>605</v>
      </c>
      <c r="E25" s="113" t="s">
        <v>483</v>
      </c>
      <c r="F25" s="93" t="s">
        <v>444</v>
      </c>
      <c r="G25" s="93" t="s">
        <v>142</v>
      </c>
      <c r="H25" s="113" t="s">
        <v>153</v>
      </c>
      <c r="I25" s="113" t="s">
        <v>256</v>
      </c>
      <c r="J25" s="117"/>
      <c r="K25" s="117" t="s">
        <v>251</v>
      </c>
      <c r="L25" s="94"/>
      <c r="M25" s="94"/>
      <c r="N25" s="112"/>
      <c r="O25" s="112"/>
      <c r="P25" s="112"/>
      <c r="Q25" s="112"/>
      <c r="R25" s="60"/>
    </row>
    <row r="26" spans="1:18" ht="39.6">
      <c r="A26" s="59"/>
      <c r="B26" s="93">
        <v>15</v>
      </c>
      <c r="C26" s="93"/>
      <c r="D26" s="93" t="s">
        <v>606</v>
      </c>
      <c r="E26" s="113" t="s">
        <v>483</v>
      </c>
      <c r="F26" s="93" t="s">
        <v>444</v>
      </c>
      <c r="G26" s="93" t="s">
        <v>142</v>
      </c>
      <c r="H26" s="113" t="s">
        <v>153</v>
      </c>
      <c r="I26" s="113" t="s">
        <v>438</v>
      </c>
      <c r="J26" s="113"/>
      <c r="K26" s="113" t="s">
        <v>252</v>
      </c>
      <c r="L26" s="94"/>
      <c r="M26" s="94"/>
      <c r="N26" s="112"/>
      <c r="O26" s="112"/>
      <c r="P26" s="112"/>
      <c r="Q26" s="112"/>
      <c r="R26" s="60"/>
    </row>
    <row r="27" spans="1:18" ht="26.4">
      <c r="A27" s="59"/>
      <c r="B27" s="93">
        <v>16</v>
      </c>
      <c r="C27" s="93"/>
      <c r="D27" s="93" t="s">
        <v>607</v>
      </c>
      <c r="E27" s="113" t="s">
        <v>483</v>
      </c>
      <c r="F27" s="93" t="s">
        <v>444</v>
      </c>
      <c r="G27" s="93" t="s">
        <v>142</v>
      </c>
      <c r="H27" s="113" t="s">
        <v>154</v>
      </c>
      <c r="I27" s="113" t="s">
        <v>257</v>
      </c>
      <c r="J27" s="117"/>
      <c r="K27" s="117" t="s">
        <v>259</v>
      </c>
      <c r="L27" s="94"/>
      <c r="M27" s="94"/>
      <c r="N27" s="112"/>
      <c r="O27" s="112"/>
      <c r="P27" s="112"/>
      <c r="Q27" s="112"/>
      <c r="R27" s="60"/>
    </row>
    <row r="28" spans="1:18" ht="39.6">
      <c r="A28" s="59"/>
      <c r="B28" s="93">
        <v>17</v>
      </c>
      <c r="C28" s="93"/>
      <c r="D28" s="93" t="s">
        <v>608</v>
      </c>
      <c r="E28" s="113" t="s">
        <v>483</v>
      </c>
      <c r="F28" s="93" t="s">
        <v>444</v>
      </c>
      <c r="G28" s="93" t="s">
        <v>142</v>
      </c>
      <c r="H28" s="113" t="s">
        <v>154</v>
      </c>
      <c r="I28" s="113" t="s">
        <v>439</v>
      </c>
      <c r="J28" s="113"/>
      <c r="K28" s="113" t="s">
        <v>260</v>
      </c>
      <c r="L28" s="94"/>
      <c r="M28" s="94"/>
      <c r="N28" s="112"/>
      <c r="O28" s="112"/>
      <c r="P28" s="112"/>
      <c r="Q28" s="112"/>
      <c r="R28" s="60"/>
    </row>
    <row r="29" spans="1:18" ht="52.8">
      <c r="A29" s="59"/>
      <c r="B29" s="93">
        <v>18</v>
      </c>
      <c r="C29" s="93"/>
      <c r="D29" s="93" t="s">
        <v>609</v>
      </c>
      <c r="E29" s="113" t="s">
        <v>483</v>
      </c>
      <c r="F29" s="93" t="s">
        <v>444</v>
      </c>
      <c r="G29" s="93" t="s">
        <v>138</v>
      </c>
      <c r="H29" s="113" t="s">
        <v>443</v>
      </c>
      <c r="I29" s="113" t="s">
        <v>440</v>
      </c>
      <c r="J29" s="117"/>
      <c r="K29" s="118" t="s">
        <v>258</v>
      </c>
      <c r="L29" s="94"/>
      <c r="M29" s="94"/>
      <c r="N29" s="112"/>
      <c r="O29" s="112"/>
      <c r="P29" s="112"/>
      <c r="Q29" s="112"/>
      <c r="R29" s="60"/>
    </row>
    <row r="30" spans="1:18" ht="26.4">
      <c r="A30" s="59"/>
      <c r="B30" s="93">
        <v>19</v>
      </c>
      <c r="C30" s="93"/>
      <c r="D30" s="93" t="s">
        <v>610</v>
      </c>
      <c r="E30" s="113" t="s">
        <v>483</v>
      </c>
      <c r="F30" s="93" t="s">
        <v>444</v>
      </c>
      <c r="G30" s="93" t="s">
        <v>142</v>
      </c>
      <c r="H30" s="113" t="s">
        <v>443</v>
      </c>
      <c r="I30" s="113" t="s">
        <v>289</v>
      </c>
      <c r="J30" s="113"/>
      <c r="K30" s="113" t="s">
        <v>249</v>
      </c>
      <c r="L30" s="94"/>
      <c r="M30" s="94"/>
      <c r="N30" s="112"/>
      <c r="O30" s="112"/>
      <c r="P30" s="112"/>
      <c r="Q30" s="112"/>
      <c r="R30" s="60"/>
    </row>
    <row r="31" spans="1:18" ht="39.6">
      <c r="A31" s="59"/>
      <c r="B31" s="93">
        <v>20</v>
      </c>
      <c r="C31" s="93"/>
      <c r="D31" s="93" t="s">
        <v>611</v>
      </c>
      <c r="E31" s="113" t="s">
        <v>483</v>
      </c>
      <c r="F31" s="93" t="s">
        <v>442</v>
      </c>
      <c r="G31" s="93" t="s">
        <v>142</v>
      </c>
      <c r="H31" s="113" t="s">
        <v>325</v>
      </c>
      <c r="I31" s="113" t="s">
        <v>441</v>
      </c>
      <c r="J31" s="113"/>
      <c r="K31" s="113" t="s">
        <v>249</v>
      </c>
      <c r="L31" s="94"/>
      <c r="M31" s="94"/>
      <c r="N31" s="112"/>
      <c r="O31" s="112"/>
      <c r="P31" s="112"/>
      <c r="Q31" s="112"/>
      <c r="R31" s="60"/>
    </row>
    <row r="32" spans="1:18" ht="39.6">
      <c r="A32" s="59"/>
      <c r="B32" s="93">
        <v>21</v>
      </c>
      <c r="C32" s="93" t="s">
        <v>337</v>
      </c>
      <c r="D32" s="93" t="s">
        <v>612</v>
      </c>
      <c r="E32" s="113" t="s">
        <v>483</v>
      </c>
      <c r="F32" s="93" t="s">
        <v>290</v>
      </c>
      <c r="G32" s="93" t="s">
        <v>136</v>
      </c>
      <c r="H32" s="113" t="s">
        <v>437</v>
      </c>
      <c r="I32" s="113" t="s">
        <v>253</v>
      </c>
      <c r="J32" s="117"/>
      <c r="K32" s="117" t="s">
        <v>250</v>
      </c>
      <c r="L32" s="94"/>
      <c r="M32" s="94"/>
      <c r="N32" s="74"/>
      <c r="O32" s="74"/>
      <c r="P32" s="74"/>
      <c r="Q32" s="74"/>
      <c r="R32" s="60"/>
    </row>
    <row r="33" spans="1:18" ht="26.4">
      <c r="A33" s="59"/>
      <c r="B33" s="93">
        <v>22</v>
      </c>
      <c r="C33" s="93"/>
      <c r="D33" s="93" t="s">
        <v>613</v>
      </c>
      <c r="E33" s="113" t="s">
        <v>483</v>
      </c>
      <c r="F33" s="93" t="s">
        <v>290</v>
      </c>
      <c r="G33" s="93" t="s">
        <v>136</v>
      </c>
      <c r="H33" s="113" t="s">
        <v>437</v>
      </c>
      <c r="I33" s="113" t="s">
        <v>254</v>
      </c>
      <c r="J33" s="117"/>
      <c r="K33" s="113" t="s">
        <v>247</v>
      </c>
      <c r="L33" s="94"/>
      <c r="M33" s="94"/>
      <c r="N33" s="74"/>
      <c r="O33" s="74"/>
      <c r="P33" s="74"/>
      <c r="Q33" s="74"/>
      <c r="R33" s="60"/>
    </row>
    <row r="34" spans="1:18" ht="26.4">
      <c r="A34" s="59"/>
      <c r="B34" s="93">
        <v>23</v>
      </c>
      <c r="C34" s="93"/>
      <c r="D34" s="93" t="s">
        <v>614</v>
      </c>
      <c r="E34" s="113" t="s">
        <v>483</v>
      </c>
      <c r="F34" s="93" t="s">
        <v>290</v>
      </c>
      <c r="G34" s="93" t="s">
        <v>136</v>
      </c>
      <c r="H34" s="113" t="s">
        <v>152</v>
      </c>
      <c r="I34" s="113" t="s">
        <v>255</v>
      </c>
      <c r="J34" s="117" t="s">
        <v>449</v>
      </c>
      <c r="K34" s="117" t="s">
        <v>248</v>
      </c>
      <c r="L34" s="94"/>
      <c r="M34" s="94"/>
      <c r="N34" s="112"/>
      <c r="O34" s="112"/>
      <c r="P34" s="112"/>
      <c r="Q34" s="112"/>
      <c r="R34" s="60"/>
    </row>
    <row r="35" spans="1:18" ht="26.4">
      <c r="A35" s="59"/>
      <c r="B35" s="93">
        <v>24</v>
      </c>
      <c r="C35" s="93"/>
      <c r="D35" s="93" t="s">
        <v>615</v>
      </c>
      <c r="E35" s="113" t="s">
        <v>483</v>
      </c>
      <c r="F35" s="93" t="s">
        <v>290</v>
      </c>
      <c r="G35" s="93" t="s">
        <v>142</v>
      </c>
      <c r="H35" s="113" t="s">
        <v>153</v>
      </c>
      <c r="I35" s="113" t="s">
        <v>256</v>
      </c>
      <c r="J35" s="117"/>
      <c r="K35" s="117" t="s">
        <v>251</v>
      </c>
      <c r="L35" s="94"/>
      <c r="M35" s="94"/>
      <c r="N35" s="74"/>
      <c r="O35" s="74"/>
      <c r="P35" s="74"/>
      <c r="Q35" s="74"/>
      <c r="R35" s="60"/>
    </row>
    <row r="36" spans="1:18" ht="39.6">
      <c r="A36" s="59"/>
      <c r="B36" s="93">
        <v>25</v>
      </c>
      <c r="C36" s="93"/>
      <c r="D36" s="93" t="s">
        <v>616</v>
      </c>
      <c r="E36" s="113" t="s">
        <v>483</v>
      </c>
      <c r="F36" s="93" t="s">
        <v>290</v>
      </c>
      <c r="G36" s="93" t="s">
        <v>142</v>
      </c>
      <c r="H36" s="113" t="s">
        <v>153</v>
      </c>
      <c r="I36" s="113" t="s">
        <v>438</v>
      </c>
      <c r="J36" s="113"/>
      <c r="K36" s="113" t="s">
        <v>252</v>
      </c>
      <c r="L36" s="94"/>
      <c r="M36" s="94"/>
      <c r="N36" s="112"/>
      <c r="O36" s="112"/>
      <c r="P36" s="112"/>
      <c r="Q36" s="112"/>
      <c r="R36" s="60"/>
    </row>
    <row r="37" spans="1:18" ht="26.4">
      <c r="A37" s="59"/>
      <c r="B37" s="93">
        <v>26</v>
      </c>
      <c r="C37" s="93"/>
      <c r="D37" s="93" t="s">
        <v>617</v>
      </c>
      <c r="E37" s="113" t="s">
        <v>483</v>
      </c>
      <c r="F37" s="93" t="s">
        <v>290</v>
      </c>
      <c r="G37" s="93" t="s">
        <v>142</v>
      </c>
      <c r="H37" s="113" t="s">
        <v>154</v>
      </c>
      <c r="I37" s="113" t="s">
        <v>257</v>
      </c>
      <c r="J37" s="117"/>
      <c r="K37" s="117" t="s">
        <v>259</v>
      </c>
      <c r="L37" s="94"/>
      <c r="M37" s="94"/>
      <c r="N37" s="112"/>
      <c r="O37" s="112"/>
      <c r="P37" s="112"/>
      <c r="Q37" s="112"/>
      <c r="R37" s="60"/>
    </row>
    <row r="38" spans="1:18" ht="39.6">
      <c r="A38" s="59"/>
      <c r="B38" s="93">
        <v>27</v>
      </c>
      <c r="C38" s="93"/>
      <c r="D38" s="93" t="s">
        <v>618</v>
      </c>
      <c r="E38" s="113" t="s">
        <v>483</v>
      </c>
      <c r="F38" s="93" t="s">
        <v>290</v>
      </c>
      <c r="G38" s="93" t="s">
        <v>142</v>
      </c>
      <c r="H38" s="113" t="s">
        <v>154</v>
      </c>
      <c r="I38" s="113" t="s">
        <v>439</v>
      </c>
      <c r="J38" s="113"/>
      <c r="K38" s="113" t="s">
        <v>260</v>
      </c>
      <c r="L38" s="94"/>
      <c r="M38" s="94"/>
      <c r="N38" s="112"/>
      <c r="O38" s="112"/>
      <c r="P38" s="112"/>
      <c r="Q38" s="112"/>
      <c r="R38" s="60"/>
    </row>
    <row r="39" spans="1:18" ht="52.8">
      <c r="A39" s="59"/>
      <c r="B39" s="93">
        <v>28</v>
      </c>
      <c r="C39" s="93"/>
      <c r="D39" s="93" t="s">
        <v>619</v>
      </c>
      <c r="E39" s="113" t="s">
        <v>483</v>
      </c>
      <c r="F39" s="93" t="s">
        <v>290</v>
      </c>
      <c r="G39" s="93" t="s">
        <v>138</v>
      </c>
      <c r="H39" s="113" t="s">
        <v>443</v>
      </c>
      <c r="I39" s="113" t="s">
        <v>440</v>
      </c>
      <c r="J39" s="117"/>
      <c r="K39" s="118" t="s">
        <v>258</v>
      </c>
      <c r="L39" s="94"/>
      <c r="M39" s="94"/>
      <c r="N39" s="112"/>
      <c r="O39" s="112"/>
      <c r="P39" s="112"/>
      <c r="Q39" s="112"/>
      <c r="R39" s="60"/>
    </row>
    <row r="40" spans="1:18" ht="26.4">
      <c r="A40" s="59"/>
      <c r="B40" s="93">
        <v>29</v>
      </c>
      <c r="C40" s="93"/>
      <c r="D40" s="93" t="s">
        <v>620</v>
      </c>
      <c r="E40" s="113" t="s">
        <v>483</v>
      </c>
      <c r="F40" s="93" t="s">
        <v>290</v>
      </c>
      <c r="G40" s="93" t="s">
        <v>142</v>
      </c>
      <c r="H40" s="113" t="s">
        <v>443</v>
      </c>
      <c r="I40" s="113" t="s">
        <v>289</v>
      </c>
      <c r="J40" s="113"/>
      <c r="K40" s="113" t="s">
        <v>249</v>
      </c>
      <c r="L40" s="94"/>
      <c r="M40" s="94"/>
      <c r="N40" s="112"/>
      <c r="O40" s="112"/>
      <c r="P40" s="112"/>
      <c r="Q40" s="112"/>
      <c r="R40" s="60"/>
    </row>
    <row r="41" spans="1:18" ht="39.6">
      <c r="A41" s="59"/>
      <c r="B41" s="93">
        <v>30</v>
      </c>
      <c r="C41" s="93"/>
      <c r="D41" s="93" t="s">
        <v>621</v>
      </c>
      <c r="E41" s="113" t="s">
        <v>483</v>
      </c>
      <c r="F41" s="93" t="s">
        <v>442</v>
      </c>
      <c r="G41" s="93" t="s">
        <v>142</v>
      </c>
      <c r="H41" s="113" t="s">
        <v>325</v>
      </c>
      <c r="I41" s="113" t="s">
        <v>441</v>
      </c>
      <c r="J41" s="113"/>
      <c r="K41" s="113" t="s">
        <v>249</v>
      </c>
      <c r="L41" s="94"/>
      <c r="M41" s="94"/>
      <c r="N41" s="112"/>
      <c r="O41" s="112"/>
      <c r="P41" s="112"/>
      <c r="Q41" s="112"/>
      <c r="R41" s="60"/>
    </row>
    <row r="42" spans="1:18" ht="39.6">
      <c r="A42" s="59"/>
      <c r="B42" s="93">
        <v>31</v>
      </c>
      <c r="C42" s="93"/>
      <c r="D42" s="93" t="s">
        <v>622</v>
      </c>
      <c r="E42" s="113" t="s">
        <v>483</v>
      </c>
      <c r="F42" s="93" t="s">
        <v>444</v>
      </c>
      <c r="G42" s="93" t="s">
        <v>136</v>
      </c>
      <c r="H42" s="113" t="s">
        <v>437</v>
      </c>
      <c r="I42" s="113" t="s">
        <v>253</v>
      </c>
      <c r="J42" s="117"/>
      <c r="K42" s="117" t="s">
        <v>250</v>
      </c>
      <c r="L42" s="94"/>
      <c r="M42" s="94"/>
      <c r="N42" s="112"/>
      <c r="O42" s="112"/>
      <c r="P42" s="112"/>
      <c r="Q42" s="112"/>
      <c r="R42" s="60"/>
    </row>
    <row r="43" spans="1:18" ht="26.4">
      <c r="A43" s="59"/>
      <c r="B43" s="93">
        <v>32</v>
      </c>
      <c r="C43" s="93"/>
      <c r="D43" s="93" t="s">
        <v>623</v>
      </c>
      <c r="E43" s="113" t="s">
        <v>483</v>
      </c>
      <c r="F43" s="93" t="s">
        <v>444</v>
      </c>
      <c r="G43" s="93" t="s">
        <v>136</v>
      </c>
      <c r="H43" s="113" t="s">
        <v>437</v>
      </c>
      <c r="I43" s="113" t="s">
        <v>254</v>
      </c>
      <c r="J43" s="117"/>
      <c r="K43" s="113" t="s">
        <v>247</v>
      </c>
      <c r="L43" s="94"/>
      <c r="M43" s="94"/>
      <c r="N43" s="112"/>
      <c r="O43" s="112"/>
      <c r="P43" s="112"/>
      <c r="Q43" s="112"/>
      <c r="R43" s="60"/>
    </row>
    <row r="44" spans="1:18" ht="26.4">
      <c r="A44" s="59"/>
      <c r="B44" s="93">
        <v>33</v>
      </c>
      <c r="C44" s="93"/>
      <c r="D44" s="93" t="s">
        <v>624</v>
      </c>
      <c r="E44" s="113" t="s">
        <v>483</v>
      </c>
      <c r="F44" s="93" t="s">
        <v>444</v>
      </c>
      <c r="G44" s="93" t="s">
        <v>136</v>
      </c>
      <c r="H44" s="113" t="s">
        <v>152</v>
      </c>
      <c r="I44" s="113" t="s">
        <v>255</v>
      </c>
      <c r="J44" s="117" t="s">
        <v>449</v>
      </c>
      <c r="K44" s="117" t="s">
        <v>248</v>
      </c>
      <c r="L44" s="94"/>
      <c r="M44" s="94"/>
      <c r="N44" s="112"/>
      <c r="O44" s="112"/>
      <c r="P44" s="112"/>
      <c r="Q44" s="112"/>
      <c r="R44" s="60"/>
    </row>
    <row r="45" spans="1:18" ht="26.4">
      <c r="A45" s="59"/>
      <c r="B45" s="93">
        <v>34</v>
      </c>
      <c r="C45" s="93"/>
      <c r="D45" s="93" t="s">
        <v>625</v>
      </c>
      <c r="E45" s="113" t="s">
        <v>483</v>
      </c>
      <c r="F45" s="93" t="s">
        <v>444</v>
      </c>
      <c r="G45" s="93" t="s">
        <v>142</v>
      </c>
      <c r="H45" s="113" t="s">
        <v>153</v>
      </c>
      <c r="I45" s="113" t="s">
        <v>256</v>
      </c>
      <c r="J45" s="117"/>
      <c r="K45" s="117" t="s">
        <v>251</v>
      </c>
      <c r="L45" s="94"/>
      <c r="M45" s="94"/>
      <c r="N45" s="74"/>
      <c r="O45" s="74"/>
      <c r="P45" s="74"/>
      <c r="Q45" s="74"/>
      <c r="R45" s="60"/>
    </row>
    <row r="46" spans="1:18" ht="39.6">
      <c r="A46" s="59"/>
      <c r="B46" s="93">
        <v>35</v>
      </c>
      <c r="C46" s="93"/>
      <c r="D46" s="93" t="s">
        <v>626</v>
      </c>
      <c r="E46" s="113" t="s">
        <v>483</v>
      </c>
      <c r="F46" s="93" t="s">
        <v>444</v>
      </c>
      <c r="G46" s="93" t="s">
        <v>142</v>
      </c>
      <c r="H46" s="113" t="s">
        <v>153</v>
      </c>
      <c r="I46" s="113" t="s">
        <v>438</v>
      </c>
      <c r="J46" s="113"/>
      <c r="K46" s="113" t="s">
        <v>252</v>
      </c>
      <c r="L46" s="94"/>
      <c r="M46" s="94"/>
      <c r="N46" s="112"/>
      <c r="O46" s="112"/>
      <c r="P46" s="112"/>
      <c r="Q46" s="112"/>
      <c r="R46" s="60"/>
    </row>
    <row r="47" spans="1:18" ht="26.4">
      <c r="A47" s="59"/>
      <c r="B47" s="93">
        <v>36</v>
      </c>
      <c r="C47" s="93"/>
      <c r="D47" s="93" t="s">
        <v>627</v>
      </c>
      <c r="E47" s="113" t="s">
        <v>483</v>
      </c>
      <c r="F47" s="93" t="s">
        <v>444</v>
      </c>
      <c r="G47" s="93" t="s">
        <v>142</v>
      </c>
      <c r="H47" s="113" t="s">
        <v>154</v>
      </c>
      <c r="I47" s="113" t="s">
        <v>257</v>
      </c>
      <c r="J47" s="117"/>
      <c r="K47" s="117" t="s">
        <v>259</v>
      </c>
      <c r="L47" s="94"/>
      <c r="M47" s="94"/>
      <c r="N47" s="112"/>
      <c r="O47" s="112"/>
      <c r="P47" s="112"/>
      <c r="Q47" s="112"/>
      <c r="R47" s="60"/>
    </row>
    <row r="48" spans="1:18" ht="39.6">
      <c r="A48" s="59"/>
      <c r="B48" s="93">
        <v>37</v>
      </c>
      <c r="C48" s="93"/>
      <c r="D48" s="93" t="s">
        <v>628</v>
      </c>
      <c r="E48" s="113" t="s">
        <v>483</v>
      </c>
      <c r="F48" s="93" t="s">
        <v>444</v>
      </c>
      <c r="G48" s="93" t="s">
        <v>142</v>
      </c>
      <c r="H48" s="113" t="s">
        <v>154</v>
      </c>
      <c r="I48" s="113" t="s">
        <v>439</v>
      </c>
      <c r="J48" s="113"/>
      <c r="K48" s="113" t="s">
        <v>260</v>
      </c>
      <c r="L48" s="94"/>
      <c r="M48" s="94"/>
      <c r="N48" s="112"/>
      <c r="O48" s="112"/>
      <c r="P48" s="112"/>
      <c r="Q48" s="112"/>
      <c r="R48" s="60"/>
    </row>
    <row r="49" spans="1:18" ht="52.8">
      <c r="A49" s="59"/>
      <c r="B49" s="93">
        <v>38</v>
      </c>
      <c r="C49" s="93"/>
      <c r="D49" s="93" t="s">
        <v>629</v>
      </c>
      <c r="E49" s="113" t="s">
        <v>483</v>
      </c>
      <c r="F49" s="93" t="s">
        <v>444</v>
      </c>
      <c r="G49" s="93" t="s">
        <v>138</v>
      </c>
      <c r="H49" s="113" t="s">
        <v>443</v>
      </c>
      <c r="I49" s="113" t="s">
        <v>440</v>
      </c>
      <c r="J49" s="117"/>
      <c r="K49" s="118" t="s">
        <v>258</v>
      </c>
      <c r="L49" s="94"/>
      <c r="M49" s="94"/>
      <c r="N49" s="112"/>
      <c r="O49" s="112"/>
      <c r="P49" s="112"/>
      <c r="Q49" s="112"/>
      <c r="R49" s="60"/>
    </row>
    <row r="50" spans="1:18" ht="26.4">
      <c r="A50" s="59"/>
      <c r="B50" s="93">
        <v>39</v>
      </c>
      <c r="C50" s="93"/>
      <c r="D50" s="93" t="s">
        <v>630</v>
      </c>
      <c r="E50" s="113" t="s">
        <v>483</v>
      </c>
      <c r="F50" s="93" t="s">
        <v>444</v>
      </c>
      <c r="G50" s="93" t="s">
        <v>142</v>
      </c>
      <c r="H50" s="113" t="s">
        <v>443</v>
      </c>
      <c r="I50" s="113" t="s">
        <v>289</v>
      </c>
      <c r="J50" s="113"/>
      <c r="K50" s="113" t="s">
        <v>249</v>
      </c>
      <c r="L50" s="94"/>
      <c r="M50" s="94"/>
      <c r="N50" s="112"/>
      <c r="O50" s="112"/>
      <c r="P50" s="112"/>
      <c r="Q50" s="112"/>
      <c r="R50" s="60"/>
    </row>
    <row r="51" spans="1:18" ht="39.6">
      <c r="A51" s="59"/>
      <c r="B51" s="93">
        <v>40</v>
      </c>
      <c r="C51" s="93"/>
      <c r="D51" s="93" t="s">
        <v>631</v>
      </c>
      <c r="E51" s="113" t="s">
        <v>483</v>
      </c>
      <c r="F51" s="93" t="s">
        <v>442</v>
      </c>
      <c r="G51" s="93" t="s">
        <v>142</v>
      </c>
      <c r="H51" s="113" t="s">
        <v>325</v>
      </c>
      <c r="I51" s="113" t="s">
        <v>441</v>
      </c>
      <c r="J51" s="113"/>
      <c r="K51" s="113" t="s">
        <v>249</v>
      </c>
      <c r="L51" s="94"/>
      <c r="M51" s="94"/>
      <c r="N51" s="74"/>
      <c r="O51" s="74"/>
      <c r="P51" s="74"/>
      <c r="Q51" s="74"/>
      <c r="R51" s="60"/>
    </row>
    <row r="52" spans="1:18" ht="52.8">
      <c r="A52" s="59"/>
      <c r="B52" s="93">
        <v>41</v>
      </c>
      <c r="C52" s="93" t="s">
        <v>125</v>
      </c>
      <c r="D52" s="93" t="s">
        <v>632</v>
      </c>
      <c r="E52" s="113" t="s">
        <v>516</v>
      </c>
      <c r="F52" s="93" t="s">
        <v>318</v>
      </c>
      <c r="G52" s="93" t="s">
        <v>136</v>
      </c>
      <c r="H52" s="113" t="s">
        <v>155</v>
      </c>
      <c r="I52" s="113" t="s">
        <v>447</v>
      </c>
      <c r="J52" s="117"/>
      <c r="K52" s="117" t="s">
        <v>137</v>
      </c>
      <c r="L52" s="94"/>
      <c r="M52" s="94"/>
      <c r="N52" s="112"/>
      <c r="O52" s="112"/>
      <c r="P52" s="112"/>
      <c r="Q52" s="112"/>
      <c r="R52" s="60"/>
    </row>
    <row r="53" spans="1:18" ht="39.6">
      <c r="A53" s="59"/>
      <c r="B53" s="93">
        <v>42</v>
      </c>
      <c r="C53" s="93"/>
      <c r="D53" s="93" t="s">
        <v>633</v>
      </c>
      <c r="E53" s="113" t="s">
        <v>516</v>
      </c>
      <c r="F53" s="93" t="s">
        <v>318</v>
      </c>
      <c r="G53" s="93" t="s">
        <v>138</v>
      </c>
      <c r="H53" s="113" t="s">
        <v>284</v>
      </c>
      <c r="I53" s="113" t="s">
        <v>460</v>
      </c>
      <c r="J53" s="117"/>
      <c r="K53" s="110" t="s">
        <v>329</v>
      </c>
      <c r="L53" s="94"/>
      <c r="M53" s="94"/>
      <c r="N53" s="74"/>
      <c r="O53" s="74"/>
      <c r="P53" s="74"/>
      <c r="Q53" s="74"/>
      <c r="R53" s="60"/>
    </row>
    <row r="54" spans="1:18" ht="26.4">
      <c r="A54" s="59"/>
      <c r="B54" s="93">
        <v>43</v>
      </c>
      <c r="C54" s="93"/>
      <c r="D54" s="93" t="s">
        <v>634</v>
      </c>
      <c r="E54" s="113" t="s">
        <v>516</v>
      </c>
      <c r="F54" s="93" t="s">
        <v>318</v>
      </c>
      <c r="G54" s="93" t="s">
        <v>136</v>
      </c>
      <c r="H54" s="113" t="s">
        <v>284</v>
      </c>
      <c r="I54" s="113" t="s">
        <v>448</v>
      </c>
      <c r="J54" s="113"/>
      <c r="K54" s="113" t="s">
        <v>261</v>
      </c>
      <c r="L54" s="94"/>
      <c r="M54" s="94"/>
      <c r="N54" s="74"/>
      <c r="O54" s="74"/>
      <c r="P54" s="74"/>
      <c r="Q54" s="74"/>
      <c r="R54" s="60"/>
    </row>
    <row r="55" spans="1:18" ht="66">
      <c r="A55" s="59"/>
      <c r="B55" s="93">
        <v>44</v>
      </c>
      <c r="C55" s="93"/>
      <c r="D55" s="93" t="s">
        <v>635</v>
      </c>
      <c r="E55" s="113" t="s">
        <v>516</v>
      </c>
      <c r="F55" s="93" t="s">
        <v>318</v>
      </c>
      <c r="G55" s="93" t="s">
        <v>136</v>
      </c>
      <c r="H55" s="113" t="s">
        <v>156</v>
      </c>
      <c r="I55" s="113" t="s">
        <v>451</v>
      </c>
      <c r="J55" s="117"/>
      <c r="K55" s="118" t="s">
        <v>262</v>
      </c>
      <c r="L55" s="94"/>
      <c r="M55" s="94"/>
      <c r="N55" s="112"/>
      <c r="O55" s="112"/>
      <c r="P55" s="112"/>
      <c r="Q55" s="112"/>
      <c r="R55" s="60"/>
    </row>
    <row r="56" spans="1:18" ht="39.6">
      <c r="A56" s="59"/>
      <c r="B56" s="93">
        <v>45</v>
      </c>
      <c r="C56" s="93"/>
      <c r="D56" s="93" t="s">
        <v>636</v>
      </c>
      <c r="E56" s="113" t="s">
        <v>516</v>
      </c>
      <c r="F56" s="93" t="s">
        <v>318</v>
      </c>
      <c r="G56" s="93" t="s">
        <v>142</v>
      </c>
      <c r="H56" s="113" t="s">
        <v>156</v>
      </c>
      <c r="I56" s="113" t="s">
        <v>451</v>
      </c>
      <c r="J56" s="113"/>
      <c r="K56" s="116" t="s">
        <v>263</v>
      </c>
      <c r="L56" s="94"/>
      <c r="M56" s="94"/>
      <c r="N56" s="74"/>
      <c r="O56" s="74"/>
      <c r="P56" s="74"/>
      <c r="Q56" s="74"/>
      <c r="R56" s="60"/>
    </row>
    <row r="57" spans="1:18" ht="39.6">
      <c r="A57" s="59"/>
      <c r="B57" s="93">
        <v>46</v>
      </c>
      <c r="C57" s="93"/>
      <c r="D57" s="93" t="s">
        <v>637</v>
      </c>
      <c r="E57" s="113" t="s">
        <v>516</v>
      </c>
      <c r="F57" s="93" t="s">
        <v>318</v>
      </c>
      <c r="G57" s="93" t="s">
        <v>142</v>
      </c>
      <c r="H57" s="113" t="s">
        <v>156</v>
      </c>
      <c r="I57" s="113" t="s">
        <v>451</v>
      </c>
      <c r="J57" s="113"/>
      <c r="K57" s="116" t="s">
        <v>285</v>
      </c>
      <c r="L57" s="94"/>
      <c r="M57" s="94"/>
      <c r="N57" s="112"/>
      <c r="O57" s="112"/>
      <c r="P57" s="112"/>
      <c r="Q57" s="112"/>
      <c r="R57" s="60"/>
    </row>
    <row r="58" spans="1:18" ht="39.6">
      <c r="A58" s="59"/>
      <c r="B58" s="93">
        <v>47</v>
      </c>
      <c r="C58" s="93"/>
      <c r="D58" s="93" t="s">
        <v>638</v>
      </c>
      <c r="E58" s="113" t="s">
        <v>516</v>
      </c>
      <c r="F58" s="93" t="s">
        <v>318</v>
      </c>
      <c r="G58" s="93" t="s">
        <v>142</v>
      </c>
      <c r="H58" s="113" t="s">
        <v>156</v>
      </c>
      <c r="I58" s="113" t="s">
        <v>451</v>
      </c>
      <c r="J58" s="113"/>
      <c r="K58" s="116" t="s">
        <v>267</v>
      </c>
      <c r="L58" s="94"/>
      <c r="M58" s="94"/>
      <c r="N58" s="74"/>
      <c r="O58" s="74"/>
      <c r="P58" s="74"/>
      <c r="Q58" s="74"/>
      <c r="R58" s="60"/>
    </row>
    <row r="59" spans="1:18" ht="39.6">
      <c r="A59" s="59"/>
      <c r="B59" s="93">
        <v>48</v>
      </c>
      <c r="C59" s="93"/>
      <c r="D59" s="93" t="s">
        <v>639</v>
      </c>
      <c r="E59" s="113" t="s">
        <v>516</v>
      </c>
      <c r="F59" s="93" t="s">
        <v>318</v>
      </c>
      <c r="G59" s="93" t="s">
        <v>142</v>
      </c>
      <c r="H59" s="113" t="s">
        <v>156</v>
      </c>
      <c r="I59" s="113" t="s">
        <v>451</v>
      </c>
      <c r="J59" s="113"/>
      <c r="K59" s="116" t="s">
        <v>268</v>
      </c>
      <c r="L59" s="94"/>
      <c r="M59" s="94"/>
      <c r="N59" s="112"/>
      <c r="O59" s="112"/>
      <c r="P59" s="112"/>
      <c r="Q59" s="112"/>
      <c r="R59" s="60"/>
    </row>
    <row r="60" spans="1:18" ht="39.6">
      <c r="A60" s="59"/>
      <c r="B60" s="93">
        <v>49</v>
      </c>
      <c r="C60" s="93"/>
      <c r="D60" s="93" t="s">
        <v>640</v>
      </c>
      <c r="E60" s="113" t="s">
        <v>516</v>
      </c>
      <c r="F60" s="93" t="s">
        <v>318</v>
      </c>
      <c r="G60" s="93" t="s">
        <v>142</v>
      </c>
      <c r="H60" s="113" t="s">
        <v>156</v>
      </c>
      <c r="I60" s="113" t="s">
        <v>469</v>
      </c>
      <c r="J60" s="113"/>
      <c r="K60" s="116" t="s">
        <v>468</v>
      </c>
      <c r="L60" s="94"/>
      <c r="M60" s="94"/>
      <c r="N60" s="112"/>
      <c r="O60" s="112"/>
      <c r="P60" s="112"/>
      <c r="Q60" s="112"/>
      <c r="R60" s="60"/>
    </row>
    <row r="61" spans="1:18" ht="39.6">
      <c r="A61" s="59"/>
      <c r="B61" s="93">
        <v>50</v>
      </c>
      <c r="C61" s="93"/>
      <c r="D61" s="93" t="s">
        <v>641</v>
      </c>
      <c r="E61" s="113" t="s">
        <v>516</v>
      </c>
      <c r="F61" s="93" t="s">
        <v>318</v>
      </c>
      <c r="G61" s="93" t="s">
        <v>142</v>
      </c>
      <c r="H61" s="113" t="s">
        <v>156</v>
      </c>
      <c r="I61" s="113" t="s">
        <v>451</v>
      </c>
      <c r="J61" s="113"/>
      <c r="K61" s="116" t="s">
        <v>276</v>
      </c>
      <c r="L61" s="94"/>
      <c r="M61" s="94"/>
      <c r="N61" s="112"/>
      <c r="O61" s="112"/>
      <c r="P61" s="112"/>
      <c r="Q61" s="112"/>
      <c r="R61" s="60"/>
    </row>
    <row r="62" spans="1:18" ht="39.6">
      <c r="A62" s="59"/>
      <c r="B62" s="93">
        <v>51</v>
      </c>
      <c r="C62" s="93"/>
      <c r="D62" s="93" t="s">
        <v>642</v>
      </c>
      <c r="E62" s="113" t="s">
        <v>516</v>
      </c>
      <c r="F62" s="93" t="s">
        <v>318</v>
      </c>
      <c r="G62" s="93" t="s">
        <v>142</v>
      </c>
      <c r="H62" s="113" t="s">
        <v>156</v>
      </c>
      <c r="I62" s="113" t="s">
        <v>451</v>
      </c>
      <c r="J62" s="113"/>
      <c r="K62" s="116" t="s">
        <v>264</v>
      </c>
      <c r="L62" s="94"/>
      <c r="M62" s="94"/>
      <c r="N62" s="112"/>
      <c r="O62" s="112"/>
      <c r="P62" s="112"/>
      <c r="Q62" s="112"/>
      <c r="R62" s="60"/>
    </row>
    <row r="63" spans="1:18" ht="39.6">
      <c r="A63" s="59"/>
      <c r="B63" s="93">
        <v>52</v>
      </c>
      <c r="C63" s="93"/>
      <c r="D63" s="93" t="s">
        <v>643</v>
      </c>
      <c r="E63" s="113" t="s">
        <v>516</v>
      </c>
      <c r="F63" s="93" t="s">
        <v>318</v>
      </c>
      <c r="G63" s="93" t="s">
        <v>142</v>
      </c>
      <c r="H63" s="113" t="s">
        <v>156</v>
      </c>
      <c r="I63" s="113" t="s">
        <v>451</v>
      </c>
      <c r="J63" s="113"/>
      <c r="K63" s="116" t="s">
        <v>265</v>
      </c>
      <c r="L63" s="94"/>
      <c r="M63" s="94"/>
      <c r="N63" s="112"/>
      <c r="O63" s="112"/>
      <c r="P63" s="112"/>
      <c r="Q63" s="112"/>
      <c r="R63" s="60"/>
    </row>
    <row r="64" spans="1:18" ht="39.6">
      <c r="A64" s="59"/>
      <c r="B64" s="93">
        <v>53</v>
      </c>
      <c r="C64" s="93"/>
      <c r="D64" s="93" t="s">
        <v>644</v>
      </c>
      <c r="E64" s="113" t="s">
        <v>516</v>
      </c>
      <c r="F64" s="93" t="s">
        <v>318</v>
      </c>
      <c r="G64" s="93" t="s">
        <v>142</v>
      </c>
      <c r="H64" s="113" t="s">
        <v>156</v>
      </c>
      <c r="I64" s="113" t="s">
        <v>451</v>
      </c>
      <c r="J64" s="113"/>
      <c r="K64" s="116" t="s">
        <v>266</v>
      </c>
      <c r="L64" s="94"/>
      <c r="M64" s="94"/>
      <c r="N64" s="112"/>
      <c r="O64" s="112"/>
      <c r="P64" s="112"/>
      <c r="Q64" s="112"/>
      <c r="R64" s="60"/>
    </row>
    <row r="65" spans="1:18" ht="39.6">
      <c r="A65" s="59"/>
      <c r="B65" s="93">
        <v>54</v>
      </c>
      <c r="C65" s="93"/>
      <c r="D65" s="93" t="s">
        <v>645</v>
      </c>
      <c r="E65" s="113" t="s">
        <v>516</v>
      </c>
      <c r="F65" s="93" t="s">
        <v>318</v>
      </c>
      <c r="G65" s="93" t="s">
        <v>136</v>
      </c>
      <c r="H65" s="113" t="s">
        <v>157</v>
      </c>
      <c r="I65" s="113" t="s">
        <v>450</v>
      </c>
      <c r="J65" s="117" t="s">
        <v>446</v>
      </c>
      <c r="K65" s="118" t="s">
        <v>269</v>
      </c>
      <c r="L65" s="94"/>
      <c r="M65" s="94"/>
      <c r="N65" s="112"/>
      <c r="O65" s="112"/>
      <c r="P65" s="112"/>
      <c r="Q65" s="112"/>
      <c r="R65" s="60"/>
    </row>
    <row r="66" spans="1:18" ht="39.6">
      <c r="A66" s="59"/>
      <c r="B66" s="93">
        <v>55</v>
      </c>
      <c r="C66" s="93"/>
      <c r="D66" s="93" t="s">
        <v>646</v>
      </c>
      <c r="E66" s="113" t="s">
        <v>516</v>
      </c>
      <c r="F66" s="93" t="s">
        <v>318</v>
      </c>
      <c r="G66" s="93" t="s">
        <v>142</v>
      </c>
      <c r="H66" s="113" t="s">
        <v>157</v>
      </c>
      <c r="I66" s="113" t="s">
        <v>478</v>
      </c>
      <c r="J66" s="117"/>
      <c r="K66" s="118" t="s">
        <v>476</v>
      </c>
      <c r="L66" s="94"/>
      <c r="M66" s="94"/>
      <c r="N66" s="112"/>
      <c r="O66" s="112"/>
      <c r="P66" s="112"/>
      <c r="Q66" s="112"/>
      <c r="R66" s="60"/>
    </row>
    <row r="67" spans="1:18" ht="39.6">
      <c r="A67" s="59"/>
      <c r="B67" s="93">
        <v>56</v>
      </c>
      <c r="C67" s="93"/>
      <c r="D67" s="93" t="s">
        <v>647</v>
      </c>
      <c r="E67" s="113" t="s">
        <v>516</v>
      </c>
      <c r="F67" s="93" t="s">
        <v>318</v>
      </c>
      <c r="G67" s="93" t="s">
        <v>142</v>
      </c>
      <c r="H67" s="113" t="s">
        <v>157</v>
      </c>
      <c r="I67" s="113" t="s">
        <v>479</v>
      </c>
      <c r="J67" s="113"/>
      <c r="K67" s="116" t="s">
        <v>477</v>
      </c>
      <c r="L67" s="94"/>
      <c r="M67" s="94"/>
      <c r="N67" s="112"/>
      <c r="O67" s="112"/>
      <c r="P67" s="112"/>
      <c r="Q67" s="112"/>
      <c r="R67" s="60"/>
    </row>
    <row r="68" spans="1:18" ht="39.6">
      <c r="A68" s="59"/>
      <c r="B68" s="93">
        <v>57</v>
      </c>
      <c r="C68" s="93"/>
      <c r="D68" s="93" t="s">
        <v>648</v>
      </c>
      <c r="E68" s="113" t="s">
        <v>516</v>
      </c>
      <c r="F68" s="93" t="s">
        <v>318</v>
      </c>
      <c r="G68" s="93" t="s">
        <v>142</v>
      </c>
      <c r="H68" s="113" t="s">
        <v>157</v>
      </c>
      <c r="I68" s="113" t="s">
        <v>480</v>
      </c>
      <c r="J68" s="113"/>
      <c r="K68" s="116" t="s">
        <v>270</v>
      </c>
      <c r="L68" s="94"/>
      <c r="M68" s="94"/>
      <c r="N68" s="112"/>
      <c r="O68" s="112"/>
      <c r="P68" s="112"/>
      <c r="Q68" s="112"/>
      <c r="R68" s="60"/>
    </row>
    <row r="69" spans="1:18" ht="52.8">
      <c r="A69" s="59"/>
      <c r="B69" s="93">
        <v>58</v>
      </c>
      <c r="C69" s="93"/>
      <c r="D69" s="93" t="s">
        <v>649</v>
      </c>
      <c r="E69" s="113" t="s">
        <v>516</v>
      </c>
      <c r="F69" s="93" t="s">
        <v>318</v>
      </c>
      <c r="G69" s="93" t="s">
        <v>142</v>
      </c>
      <c r="H69" s="113" t="s">
        <v>157</v>
      </c>
      <c r="I69" s="113" t="s">
        <v>481</v>
      </c>
      <c r="J69" s="113"/>
      <c r="K69" s="116" t="s">
        <v>271</v>
      </c>
      <c r="L69" s="94"/>
      <c r="M69" s="94"/>
      <c r="N69" s="112"/>
      <c r="O69" s="112"/>
      <c r="P69" s="112"/>
      <c r="Q69" s="112"/>
      <c r="R69" s="60"/>
    </row>
    <row r="70" spans="1:18" ht="39.6">
      <c r="A70" s="59"/>
      <c r="B70" s="93">
        <v>59</v>
      </c>
      <c r="C70" s="93"/>
      <c r="D70" s="93" t="s">
        <v>650</v>
      </c>
      <c r="E70" s="113" t="s">
        <v>516</v>
      </c>
      <c r="F70" s="93" t="s">
        <v>318</v>
      </c>
      <c r="G70" s="93" t="s">
        <v>142</v>
      </c>
      <c r="H70" s="113" t="s">
        <v>157</v>
      </c>
      <c r="I70" s="113" t="s">
        <v>482</v>
      </c>
      <c r="J70" s="113"/>
      <c r="K70" s="116" t="s">
        <v>272</v>
      </c>
      <c r="L70" s="94"/>
      <c r="M70" s="94"/>
      <c r="N70" s="112"/>
      <c r="O70" s="112"/>
      <c r="P70" s="112"/>
      <c r="Q70" s="112"/>
      <c r="R70" s="60"/>
    </row>
    <row r="71" spans="1:18" ht="39.6">
      <c r="A71" s="59"/>
      <c r="B71" s="93">
        <v>60</v>
      </c>
      <c r="C71" s="93"/>
      <c r="D71" s="93" t="s">
        <v>651</v>
      </c>
      <c r="E71" s="113" t="s">
        <v>516</v>
      </c>
      <c r="F71" s="93" t="s">
        <v>318</v>
      </c>
      <c r="G71" s="93" t="s">
        <v>136</v>
      </c>
      <c r="H71" s="113" t="s">
        <v>157</v>
      </c>
      <c r="I71" s="113" t="s">
        <v>450</v>
      </c>
      <c r="J71" s="117"/>
      <c r="K71" s="118" t="s">
        <v>274</v>
      </c>
      <c r="L71" s="94"/>
      <c r="M71" s="94"/>
      <c r="N71" s="112"/>
      <c r="O71" s="112"/>
      <c r="P71" s="112"/>
      <c r="Q71" s="112"/>
      <c r="R71" s="60"/>
    </row>
    <row r="72" spans="1:18" ht="52.8">
      <c r="A72" s="59"/>
      <c r="B72" s="93">
        <v>61</v>
      </c>
      <c r="C72" s="93"/>
      <c r="D72" s="93" t="s">
        <v>652</v>
      </c>
      <c r="E72" s="113" t="s">
        <v>516</v>
      </c>
      <c r="F72" s="93" t="s">
        <v>318</v>
      </c>
      <c r="G72" s="93" t="s">
        <v>136</v>
      </c>
      <c r="H72" s="113" t="s">
        <v>157</v>
      </c>
      <c r="I72" s="113" t="s">
        <v>450</v>
      </c>
      <c r="J72" s="113"/>
      <c r="K72" s="116" t="s">
        <v>275</v>
      </c>
      <c r="L72" s="94"/>
      <c r="M72" s="94"/>
      <c r="N72" s="112"/>
      <c r="O72" s="112"/>
      <c r="P72" s="112"/>
      <c r="Q72" s="112"/>
      <c r="R72" s="60"/>
    </row>
    <row r="73" spans="1:18" ht="52.8">
      <c r="A73" s="59"/>
      <c r="B73" s="93">
        <v>62</v>
      </c>
      <c r="C73" s="93"/>
      <c r="D73" s="93" t="s">
        <v>653</v>
      </c>
      <c r="E73" s="113" t="s">
        <v>516</v>
      </c>
      <c r="F73" s="93" t="s">
        <v>318</v>
      </c>
      <c r="G73" s="93" t="s">
        <v>136</v>
      </c>
      <c r="H73" s="113" t="s">
        <v>159</v>
      </c>
      <c r="I73" s="113" t="s">
        <v>445</v>
      </c>
      <c r="J73" s="117"/>
      <c r="K73" s="117" t="s">
        <v>158</v>
      </c>
      <c r="L73" s="94"/>
      <c r="M73" s="94"/>
      <c r="N73" s="112"/>
      <c r="O73" s="112"/>
      <c r="P73" s="112"/>
      <c r="Q73" s="112"/>
      <c r="R73" s="60"/>
    </row>
    <row r="74" spans="1:18" ht="39.6">
      <c r="A74" s="59"/>
      <c r="B74" s="93">
        <v>63</v>
      </c>
      <c r="C74" s="93"/>
      <c r="D74" s="93" t="s">
        <v>654</v>
      </c>
      <c r="E74" s="113" t="s">
        <v>516</v>
      </c>
      <c r="F74" s="93" t="s">
        <v>290</v>
      </c>
      <c r="G74" s="93" t="s">
        <v>136</v>
      </c>
      <c r="H74" s="113" t="s">
        <v>292</v>
      </c>
      <c r="I74" s="116" t="s">
        <v>293</v>
      </c>
      <c r="J74" s="117"/>
      <c r="K74" s="118" t="s">
        <v>295</v>
      </c>
      <c r="L74" s="94"/>
      <c r="M74" s="94"/>
      <c r="N74" s="112"/>
      <c r="O74" s="112"/>
      <c r="P74" s="112"/>
      <c r="Q74" s="112"/>
      <c r="R74" s="60"/>
    </row>
    <row r="75" spans="1:18" ht="39.6">
      <c r="A75" s="59"/>
      <c r="B75" s="93">
        <v>64</v>
      </c>
      <c r="C75" s="93"/>
      <c r="D75" s="93" t="s">
        <v>655</v>
      </c>
      <c r="E75" s="113" t="s">
        <v>516</v>
      </c>
      <c r="F75" s="93" t="s">
        <v>187</v>
      </c>
      <c r="G75" s="93" t="s">
        <v>136</v>
      </c>
      <c r="H75" s="113" t="s">
        <v>291</v>
      </c>
      <c r="I75" s="116" t="s">
        <v>294</v>
      </c>
      <c r="J75" s="117"/>
      <c r="K75" s="118" t="s">
        <v>295</v>
      </c>
      <c r="L75" s="94"/>
      <c r="M75" s="94"/>
      <c r="N75" s="112"/>
      <c r="O75" s="112"/>
      <c r="P75" s="112"/>
      <c r="Q75" s="112"/>
      <c r="R75" s="60"/>
    </row>
    <row r="76" spans="1:18" ht="66">
      <c r="A76" s="59"/>
      <c r="B76" s="93">
        <v>65</v>
      </c>
      <c r="C76" s="93"/>
      <c r="D76" s="93" t="s">
        <v>656</v>
      </c>
      <c r="E76" s="113" t="s">
        <v>517</v>
      </c>
      <c r="F76" s="93" t="s">
        <v>318</v>
      </c>
      <c r="G76" s="93" t="s">
        <v>142</v>
      </c>
      <c r="H76" s="113" t="s">
        <v>298</v>
      </c>
      <c r="I76" s="116" t="s">
        <v>277</v>
      </c>
      <c r="J76" s="117"/>
      <c r="K76" s="118" t="s">
        <v>278</v>
      </c>
      <c r="L76" s="94"/>
      <c r="M76" s="94"/>
      <c r="N76" s="112"/>
      <c r="O76" s="112"/>
      <c r="P76" s="112"/>
      <c r="Q76" s="112"/>
      <c r="R76" s="60"/>
    </row>
    <row r="77" spans="1:18" ht="66">
      <c r="A77" s="59"/>
      <c r="B77" s="93">
        <v>66</v>
      </c>
      <c r="C77" s="93"/>
      <c r="D77" s="93" t="s">
        <v>657</v>
      </c>
      <c r="E77" s="113" t="s">
        <v>517</v>
      </c>
      <c r="F77" s="93" t="s">
        <v>318</v>
      </c>
      <c r="G77" s="93" t="s">
        <v>142</v>
      </c>
      <c r="H77" s="113" t="s">
        <v>298</v>
      </c>
      <c r="I77" s="116" t="s">
        <v>279</v>
      </c>
      <c r="J77" s="113"/>
      <c r="K77" s="116" t="s">
        <v>280</v>
      </c>
      <c r="L77" s="94"/>
      <c r="M77" s="94"/>
      <c r="N77" s="112"/>
      <c r="O77" s="112"/>
      <c r="P77" s="112"/>
      <c r="Q77" s="112"/>
      <c r="R77" s="60"/>
    </row>
    <row r="78" spans="1:18" ht="39.6">
      <c r="A78" s="59"/>
      <c r="B78" s="93">
        <v>67</v>
      </c>
      <c r="C78" s="94"/>
      <c r="D78" s="93" t="s">
        <v>658</v>
      </c>
      <c r="E78" s="113" t="s">
        <v>517</v>
      </c>
      <c r="F78" s="93" t="s">
        <v>318</v>
      </c>
      <c r="G78" s="93" t="s">
        <v>142</v>
      </c>
      <c r="H78" s="113" t="s">
        <v>297</v>
      </c>
      <c r="I78" s="116" t="s">
        <v>282</v>
      </c>
      <c r="J78" s="117"/>
      <c r="K78" s="118" t="s">
        <v>281</v>
      </c>
      <c r="L78" s="94"/>
      <c r="M78" s="94"/>
      <c r="N78" s="112"/>
      <c r="O78" s="112"/>
      <c r="P78" s="112"/>
      <c r="Q78" s="112"/>
      <c r="R78" s="60"/>
    </row>
    <row r="79" spans="1:18" ht="52.8">
      <c r="A79" s="59"/>
      <c r="B79" s="93">
        <v>68</v>
      </c>
      <c r="C79" s="93"/>
      <c r="D79" s="93" t="s">
        <v>659</v>
      </c>
      <c r="E79" s="113" t="s">
        <v>517</v>
      </c>
      <c r="F79" s="93" t="s">
        <v>318</v>
      </c>
      <c r="G79" s="93" t="s">
        <v>142</v>
      </c>
      <c r="H79" s="113" t="s">
        <v>297</v>
      </c>
      <c r="I79" s="116" t="s">
        <v>454</v>
      </c>
      <c r="J79" s="113"/>
      <c r="K79" s="116" t="s">
        <v>453</v>
      </c>
      <c r="L79" s="94"/>
      <c r="M79" s="94"/>
      <c r="N79" s="112"/>
      <c r="O79" s="112"/>
      <c r="P79" s="112"/>
      <c r="Q79" s="112"/>
      <c r="R79" s="60"/>
    </row>
    <row r="80" spans="1:18" ht="66">
      <c r="A80" s="59"/>
      <c r="B80" s="93">
        <v>69</v>
      </c>
      <c r="C80" s="93"/>
      <c r="D80" s="93" t="s">
        <v>412</v>
      </c>
      <c r="E80" s="113" t="s">
        <v>518</v>
      </c>
      <c r="F80" s="93" t="s">
        <v>318</v>
      </c>
      <c r="G80" s="93" t="s">
        <v>142</v>
      </c>
      <c r="H80" s="113" t="s">
        <v>161</v>
      </c>
      <c r="I80" s="113" t="s">
        <v>452</v>
      </c>
      <c r="J80" s="117" t="s">
        <v>161</v>
      </c>
      <c r="K80" s="117" t="s">
        <v>296</v>
      </c>
      <c r="L80" s="94"/>
      <c r="M80" s="94"/>
      <c r="N80" s="112"/>
      <c r="O80" s="112"/>
      <c r="P80" s="112"/>
      <c r="Q80" s="112"/>
      <c r="R80" s="60"/>
    </row>
    <row r="81" spans="1:18">
      <c r="A81" s="59"/>
      <c r="B81" s="93"/>
      <c r="C81" s="93"/>
      <c r="D81" s="93"/>
      <c r="E81" s="93"/>
      <c r="F81" s="93"/>
      <c r="G81" s="93"/>
      <c r="H81" s="113"/>
      <c r="I81" s="113"/>
      <c r="J81" s="93"/>
      <c r="K81" s="93"/>
      <c r="L81" s="94"/>
      <c r="M81" s="94"/>
      <c r="N81" s="112"/>
      <c r="O81" s="112"/>
      <c r="P81" s="112"/>
      <c r="Q81" s="112"/>
      <c r="R81" s="60"/>
    </row>
    <row r="82" spans="1:18">
      <c r="A82" s="59"/>
      <c r="B82" s="93"/>
      <c r="C82" s="93"/>
      <c r="D82" s="93"/>
      <c r="E82" s="113"/>
      <c r="F82" s="93"/>
      <c r="G82" s="93"/>
      <c r="H82" s="113"/>
      <c r="I82" s="113"/>
      <c r="J82" s="117"/>
      <c r="K82" s="117"/>
      <c r="L82" s="98"/>
      <c r="M82" s="98"/>
      <c r="N82" s="74"/>
      <c r="O82" s="74"/>
      <c r="P82" s="74"/>
      <c r="Q82" s="74"/>
      <c r="R82" s="60"/>
    </row>
    <row r="83" spans="1:18">
      <c r="B83" s="65"/>
      <c r="C83" s="65"/>
      <c r="D83" s="65"/>
      <c r="E83" s="65"/>
      <c r="F83" s="65"/>
      <c r="G83" s="65"/>
      <c r="H83" s="65"/>
      <c r="I83" s="65"/>
      <c r="J83" s="66"/>
      <c r="K83" s="66"/>
      <c r="L83" s="66"/>
      <c r="M83" s="66"/>
      <c r="N83" s="66"/>
      <c r="O83" s="66"/>
      <c r="P83" s="66"/>
      <c r="Q83" s="66"/>
    </row>
  </sheetData>
  <mergeCells count="7">
    <mergeCell ref="C2:K2"/>
    <mergeCell ref="B9:K9"/>
    <mergeCell ref="B4:K4"/>
    <mergeCell ref="B5:K5"/>
    <mergeCell ref="B6:K6"/>
    <mergeCell ref="B7:K7"/>
    <mergeCell ref="B8:K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8AC7-6148-4F09-B992-CE4B1778C4DA}">
  <sheetPr codeName="Sheet10">
    <pageSetUpPr fitToPage="1"/>
  </sheetPr>
  <dimension ref="A1:R51"/>
  <sheetViews>
    <sheetView topLeftCell="B1" zoomScaleNormal="100" workbookViewId="0">
      <selection activeCell="B9" sqref="B9:K9"/>
    </sheetView>
  </sheetViews>
  <sheetFormatPr defaultColWidth="8.8984375" defaultRowHeight="15.6"/>
  <cols>
    <col min="1" max="1" width="2.69921875" style="54" customWidth="1"/>
    <col min="2" max="2" width="6.09765625" style="55" customWidth="1"/>
    <col min="3" max="4" width="10" style="55" customWidth="1"/>
    <col min="5" max="5" width="13.59765625" style="55" customWidth="1"/>
    <col min="6" max="7" width="5.69921875" style="55" customWidth="1"/>
    <col min="8" max="8" width="18.3984375" style="55" customWidth="1"/>
    <col min="9" max="9" width="25" style="55" customWidth="1"/>
    <col min="10" max="10" width="20.5" style="54" customWidth="1"/>
    <col min="11" max="11" width="31.19921875" style="54" customWidth="1"/>
    <col min="12" max="13" width="8.69921875" style="54" customWidth="1"/>
    <col min="14" max="14" width="9.09765625" style="54" customWidth="1"/>
    <col min="15" max="15" width="30.69921875" style="54" customWidth="1"/>
    <col min="16" max="16" width="10.59765625" style="54" bestFit="1" customWidth="1"/>
    <col min="17" max="16384" width="8.8984375" style="54"/>
  </cols>
  <sheetData>
    <row r="1" spans="1:18" ht="66" customHeight="1">
      <c r="B1" s="56"/>
      <c r="C1" s="56"/>
      <c r="D1" s="56"/>
      <c r="E1" s="56"/>
      <c r="F1" s="57"/>
      <c r="G1" s="57"/>
      <c r="H1" s="57"/>
      <c r="I1" s="57"/>
      <c r="J1" s="58"/>
      <c r="K1" s="58"/>
    </row>
    <row r="2" spans="1:18" ht="59.55" customHeight="1">
      <c r="A2" s="59"/>
      <c r="B2" s="114" t="s">
        <v>212</v>
      </c>
      <c r="C2" s="154" t="s">
        <v>211</v>
      </c>
      <c r="D2" s="155"/>
      <c r="E2" s="155"/>
      <c r="F2" s="155"/>
      <c r="G2" s="155"/>
      <c r="H2" s="155"/>
      <c r="I2" s="155"/>
      <c r="J2" s="155"/>
      <c r="K2" s="156"/>
      <c r="L2" s="62"/>
      <c r="M2" s="63"/>
      <c r="N2" s="63"/>
      <c r="O2" s="63"/>
      <c r="P2" s="63"/>
    </row>
    <row r="3" spans="1:18" ht="7.5" customHeight="1">
      <c r="B3" s="67"/>
      <c r="C3" s="67"/>
      <c r="D3" s="67"/>
      <c r="E3" s="67"/>
      <c r="F3" s="68"/>
      <c r="G3" s="68"/>
      <c r="H3" s="68"/>
      <c r="I3" s="68"/>
      <c r="J3" s="69"/>
      <c r="K3" s="69"/>
    </row>
    <row r="4" spans="1:18">
      <c r="A4" s="59"/>
      <c r="B4" s="160" t="s">
        <v>113</v>
      </c>
      <c r="C4" s="160"/>
      <c r="D4" s="160"/>
      <c r="E4" s="160"/>
      <c r="F4" s="160"/>
      <c r="G4" s="160"/>
      <c r="H4" s="160"/>
      <c r="I4" s="160"/>
      <c r="J4" s="160"/>
      <c r="K4" s="160"/>
      <c r="L4" s="60"/>
    </row>
    <row r="5" spans="1:18" s="63" customFormat="1" ht="28.8" customHeight="1">
      <c r="A5" s="61"/>
      <c r="B5" s="157" t="s">
        <v>169</v>
      </c>
      <c r="C5" s="157"/>
      <c r="D5" s="157"/>
      <c r="E5" s="158"/>
      <c r="F5" s="158"/>
      <c r="G5" s="158"/>
      <c r="H5" s="158"/>
      <c r="I5" s="158"/>
      <c r="J5" s="158"/>
      <c r="K5" s="158"/>
      <c r="L5" s="62"/>
    </row>
    <row r="6" spans="1:18">
      <c r="A6" s="59"/>
      <c r="B6" s="159" t="s">
        <v>102</v>
      </c>
      <c r="C6" s="159"/>
      <c r="D6" s="159"/>
      <c r="E6" s="159"/>
      <c r="F6" s="159"/>
      <c r="G6" s="159"/>
      <c r="H6" s="159"/>
      <c r="I6" s="159"/>
      <c r="J6" s="159"/>
      <c r="K6" s="159"/>
      <c r="L6" s="60"/>
    </row>
    <row r="7" spans="1:18" ht="94.95" customHeight="1">
      <c r="A7" s="59"/>
      <c r="B7" s="157" t="s">
        <v>675</v>
      </c>
      <c r="C7" s="157"/>
      <c r="D7" s="157"/>
      <c r="E7" s="158"/>
      <c r="F7" s="158"/>
      <c r="G7" s="158"/>
      <c r="H7" s="158"/>
      <c r="I7" s="158"/>
      <c r="J7" s="158"/>
      <c r="K7" s="158"/>
      <c r="L7" s="60"/>
    </row>
    <row r="8" spans="1:18">
      <c r="A8" s="59"/>
      <c r="B8" s="159" t="s">
        <v>114</v>
      </c>
      <c r="C8" s="159"/>
      <c r="D8" s="159"/>
      <c r="E8" s="159"/>
      <c r="F8" s="159"/>
      <c r="G8" s="159"/>
      <c r="H8" s="159"/>
      <c r="I8" s="159"/>
      <c r="J8" s="159"/>
      <c r="K8" s="159"/>
      <c r="L8" s="60"/>
    </row>
    <row r="9" spans="1:18" ht="73.349999999999994" customHeight="1">
      <c r="A9" s="59"/>
      <c r="B9" s="157" t="s">
        <v>456</v>
      </c>
      <c r="C9" s="158"/>
      <c r="D9" s="158"/>
      <c r="E9" s="158"/>
      <c r="F9" s="158"/>
      <c r="G9" s="158"/>
      <c r="H9" s="158"/>
      <c r="I9" s="158"/>
      <c r="J9" s="158"/>
      <c r="K9" s="158"/>
      <c r="L9" s="60"/>
    </row>
    <row r="10" spans="1:18" ht="10.050000000000001" customHeight="1">
      <c r="B10" s="92"/>
      <c r="C10" s="92"/>
      <c r="D10" s="92"/>
      <c r="E10" s="92"/>
      <c r="F10" s="82"/>
      <c r="G10" s="82"/>
      <c r="H10" s="82"/>
      <c r="I10" s="82"/>
      <c r="J10" s="83"/>
      <c r="K10" s="83"/>
      <c r="L10" s="58"/>
      <c r="M10" s="58"/>
      <c r="N10" s="58"/>
      <c r="O10" s="58"/>
      <c r="P10" s="58"/>
      <c r="Q10" s="58"/>
    </row>
    <row r="11" spans="1:18">
      <c r="A11" s="59"/>
      <c r="B11" s="100" t="s">
        <v>167</v>
      </c>
      <c r="C11" s="100" t="s">
        <v>168</v>
      </c>
      <c r="D11" s="100" t="s">
        <v>61</v>
      </c>
      <c r="E11" s="100" t="s">
        <v>116</v>
      </c>
      <c r="F11" s="100" t="s">
        <v>103</v>
      </c>
      <c r="G11" s="100" t="s">
        <v>104</v>
      </c>
      <c r="H11" s="100" t="s">
        <v>105</v>
      </c>
      <c r="I11" s="100" t="s">
        <v>117</v>
      </c>
      <c r="J11" s="100" t="s">
        <v>106</v>
      </c>
      <c r="K11" s="100" t="s">
        <v>107</v>
      </c>
      <c r="L11" s="64" t="s">
        <v>108</v>
      </c>
      <c r="M11" s="64" t="s">
        <v>109</v>
      </c>
      <c r="N11" s="64" t="s">
        <v>110</v>
      </c>
      <c r="O11" s="64" t="s">
        <v>111</v>
      </c>
      <c r="P11" s="64" t="s">
        <v>115</v>
      </c>
      <c r="Q11" s="64" t="s">
        <v>112</v>
      </c>
      <c r="R11" s="60"/>
    </row>
    <row r="12" spans="1:18" ht="39.6">
      <c r="A12" s="59"/>
      <c r="B12" s="93">
        <v>1</v>
      </c>
      <c r="C12" s="93" t="s">
        <v>328</v>
      </c>
      <c r="D12" s="93" t="s">
        <v>413</v>
      </c>
      <c r="E12" s="113" t="s">
        <v>521</v>
      </c>
      <c r="F12" s="93" t="s">
        <v>290</v>
      </c>
      <c r="G12" s="93" t="s">
        <v>136</v>
      </c>
      <c r="H12" s="113" t="s">
        <v>306</v>
      </c>
      <c r="I12" s="113" t="s">
        <v>307</v>
      </c>
      <c r="J12" s="117"/>
      <c r="K12" s="117" t="s">
        <v>308</v>
      </c>
      <c r="L12" s="94"/>
      <c r="M12" s="94"/>
      <c r="N12" s="74"/>
      <c r="O12" s="74"/>
      <c r="P12" s="74"/>
      <c r="Q12" s="74"/>
      <c r="R12" s="60"/>
    </row>
    <row r="13" spans="1:18" ht="26.4">
      <c r="A13" s="59"/>
      <c r="B13" s="93">
        <v>2</v>
      </c>
      <c r="C13" s="93"/>
      <c r="D13" s="93" t="s">
        <v>414</v>
      </c>
      <c r="E13" s="113" t="s">
        <v>521</v>
      </c>
      <c r="F13" s="93" t="s">
        <v>290</v>
      </c>
      <c r="G13" s="93" t="s">
        <v>136</v>
      </c>
      <c r="H13" s="113" t="s">
        <v>306</v>
      </c>
      <c r="I13" s="113" t="s">
        <v>310</v>
      </c>
      <c r="J13" s="117"/>
      <c r="K13" s="113" t="s">
        <v>309</v>
      </c>
      <c r="L13" s="94"/>
      <c r="M13" s="94"/>
      <c r="N13" s="74"/>
      <c r="O13" s="74"/>
      <c r="P13" s="74"/>
      <c r="Q13" s="74"/>
      <c r="R13" s="60"/>
    </row>
    <row r="14" spans="1:18" ht="26.4">
      <c r="A14" s="59"/>
      <c r="B14" s="93">
        <v>3</v>
      </c>
      <c r="C14" s="93"/>
      <c r="D14" s="93" t="s">
        <v>415</v>
      </c>
      <c r="E14" s="113" t="s">
        <v>521</v>
      </c>
      <c r="F14" s="93" t="s">
        <v>290</v>
      </c>
      <c r="G14" s="93" t="s">
        <v>136</v>
      </c>
      <c r="H14" s="113" t="s">
        <v>162</v>
      </c>
      <c r="I14" s="113" t="s">
        <v>311</v>
      </c>
      <c r="J14" s="117" t="s">
        <v>457</v>
      </c>
      <c r="K14" s="117" t="s">
        <v>312</v>
      </c>
      <c r="L14" s="94"/>
      <c r="M14" s="94"/>
      <c r="N14" s="74"/>
      <c r="O14" s="74"/>
      <c r="P14" s="74"/>
      <c r="Q14" s="74"/>
      <c r="R14" s="60"/>
    </row>
    <row r="15" spans="1:18" ht="26.4">
      <c r="A15" s="59"/>
      <c r="B15" s="93">
        <v>4</v>
      </c>
      <c r="C15" s="93"/>
      <c r="D15" s="93" t="s">
        <v>416</v>
      </c>
      <c r="E15" s="113" t="s">
        <v>521</v>
      </c>
      <c r="F15" s="93" t="s">
        <v>318</v>
      </c>
      <c r="G15" s="93" t="s">
        <v>142</v>
      </c>
      <c r="H15" s="113" t="s">
        <v>162</v>
      </c>
      <c r="I15" s="113" t="s">
        <v>289</v>
      </c>
      <c r="J15" s="113"/>
      <c r="K15" s="113" t="s">
        <v>249</v>
      </c>
      <c r="L15" s="94"/>
      <c r="M15" s="94"/>
      <c r="N15" s="112"/>
      <c r="O15" s="112"/>
      <c r="P15" s="112"/>
      <c r="Q15" s="112"/>
      <c r="R15" s="60"/>
    </row>
    <row r="16" spans="1:18" ht="26.4">
      <c r="A16" s="59"/>
      <c r="B16" s="93">
        <v>5</v>
      </c>
      <c r="C16" s="93"/>
      <c r="D16" s="93" t="s">
        <v>417</v>
      </c>
      <c r="E16" s="113" t="s">
        <v>521</v>
      </c>
      <c r="F16" s="93" t="s">
        <v>318</v>
      </c>
      <c r="G16" s="93" t="s">
        <v>142</v>
      </c>
      <c r="H16" s="113" t="s">
        <v>162</v>
      </c>
      <c r="I16" s="113" t="s">
        <v>313</v>
      </c>
      <c r="J16" s="113"/>
      <c r="K16" s="113" t="s">
        <v>249</v>
      </c>
      <c r="L16" s="94"/>
      <c r="M16" s="94"/>
      <c r="N16" s="112"/>
      <c r="O16" s="112"/>
      <c r="P16" s="112"/>
      <c r="Q16" s="112"/>
      <c r="R16" s="60"/>
    </row>
    <row r="17" spans="1:18" ht="39.6">
      <c r="A17" s="59"/>
      <c r="B17" s="93">
        <v>6</v>
      </c>
      <c r="C17" s="93"/>
      <c r="D17" s="93" t="s">
        <v>418</v>
      </c>
      <c r="E17" s="113" t="s">
        <v>521</v>
      </c>
      <c r="F17" s="93" t="s">
        <v>187</v>
      </c>
      <c r="G17" s="93" t="s">
        <v>136</v>
      </c>
      <c r="H17" s="113" t="s">
        <v>306</v>
      </c>
      <c r="I17" s="113" t="s">
        <v>307</v>
      </c>
      <c r="J17" s="117"/>
      <c r="K17" s="117" t="s">
        <v>308</v>
      </c>
      <c r="L17" s="94"/>
      <c r="M17" s="94"/>
      <c r="N17" s="112"/>
      <c r="O17" s="112"/>
      <c r="P17" s="112"/>
      <c r="Q17" s="112"/>
      <c r="R17" s="60"/>
    </row>
    <row r="18" spans="1:18" ht="26.4">
      <c r="A18" s="59"/>
      <c r="B18" s="93">
        <v>7</v>
      </c>
      <c r="C18" s="93"/>
      <c r="D18" s="93" t="s">
        <v>661</v>
      </c>
      <c r="E18" s="113" t="s">
        <v>521</v>
      </c>
      <c r="F18" s="93" t="s">
        <v>187</v>
      </c>
      <c r="G18" s="93" t="s">
        <v>136</v>
      </c>
      <c r="H18" s="113" t="s">
        <v>306</v>
      </c>
      <c r="I18" s="113" t="s">
        <v>310</v>
      </c>
      <c r="J18" s="117"/>
      <c r="K18" s="113" t="s">
        <v>309</v>
      </c>
      <c r="L18" s="94"/>
      <c r="M18" s="94"/>
      <c r="N18" s="112"/>
      <c r="O18" s="112"/>
      <c r="P18" s="112"/>
      <c r="Q18" s="112"/>
      <c r="R18" s="60"/>
    </row>
    <row r="19" spans="1:18" ht="26.4">
      <c r="A19" s="59"/>
      <c r="B19" s="93">
        <v>8</v>
      </c>
      <c r="C19" s="93"/>
      <c r="D19" s="93" t="s">
        <v>662</v>
      </c>
      <c r="E19" s="113" t="s">
        <v>521</v>
      </c>
      <c r="F19" s="93" t="s">
        <v>187</v>
      </c>
      <c r="G19" s="93" t="s">
        <v>136</v>
      </c>
      <c r="H19" s="113" t="s">
        <v>162</v>
      </c>
      <c r="I19" s="113" t="s">
        <v>311</v>
      </c>
      <c r="J19" s="117" t="s">
        <v>457</v>
      </c>
      <c r="K19" s="117" t="s">
        <v>312</v>
      </c>
      <c r="L19" s="94"/>
      <c r="M19" s="94"/>
      <c r="N19" s="112"/>
      <c r="O19" s="112"/>
      <c r="P19" s="112"/>
      <c r="Q19" s="112"/>
      <c r="R19" s="60"/>
    </row>
    <row r="20" spans="1:18" ht="26.4">
      <c r="A20" s="59"/>
      <c r="B20" s="93">
        <v>9</v>
      </c>
      <c r="C20" s="93"/>
      <c r="D20" s="93" t="s">
        <v>663</v>
      </c>
      <c r="E20" s="113" t="s">
        <v>521</v>
      </c>
      <c r="F20" s="93" t="s">
        <v>318</v>
      </c>
      <c r="G20" s="93" t="s">
        <v>142</v>
      </c>
      <c r="H20" s="113" t="s">
        <v>162</v>
      </c>
      <c r="I20" s="113" t="s">
        <v>289</v>
      </c>
      <c r="J20" s="113"/>
      <c r="K20" s="113" t="s">
        <v>249</v>
      </c>
      <c r="L20" s="94"/>
      <c r="M20" s="94"/>
      <c r="N20" s="112"/>
      <c r="O20" s="112"/>
      <c r="P20" s="112"/>
      <c r="Q20" s="112"/>
      <c r="R20" s="60"/>
    </row>
    <row r="21" spans="1:18" ht="26.4">
      <c r="A21" s="59"/>
      <c r="B21" s="93">
        <v>10</v>
      </c>
      <c r="C21" s="93"/>
      <c r="D21" s="93" t="s">
        <v>664</v>
      </c>
      <c r="E21" s="113" t="s">
        <v>521</v>
      </c>
      <c r="F21" s="93" t="s">
        <v>318</v>
      </c>
      <c r="G21" s="93" t="s">
        <v>142</v>
      </c>
      <c r="H21" s="113" t="s">
        <v>162</v>
      </c>
      <c r="I21" s="113" t="s">
        <v>313</v>
      </c>
      <c r="J21" s="113"/>
      <c r="K21" s="113" t="s">
        <v>249</v>
      </c>
      <c r="L21" s="94"/>
      <c r="M21" s="94"/>
      <c r="N21" s="112"/>
      <c r="O21" s="112"/>
      <c r="P21" s="112"/>
      <c r="Q21" s="112"/>
      <c r="R21" s="60"/>
    </row>
    <row r="22" spans="1:18" ht="39.6">
      <c r="A22" s="59"/>
      <c r="B22" s="93">
        <v>11</v>
      </c>
      <c r="C22" s="93" t="s">
        <v>337</v>
      </c>
      <c r="D22" s="93" t="s">
        <v>665</v>
      </c>
      <c r="E22" s="113" t="s">
        <v>521</v>
      </c>
      <c r="F22" s="93" t="s">
        <v>290</v>
      </c>
      <c r="G22" s="93" t="s">
        <v>136</v>
      </c>
      <c r="H22" s="113" t="s">
        <v>306</v>
      </c>
      <c r="I22" s="113" t="s">
        <v>307</v>
      </c>
      <c r="J22" s="117"/>
      <c r="K22" s="117" t="s">
        <v>308</v>
      </c>
      <c r="L22" s="94"/>
      <c r="M22" s="94"/>
      <c r="N22" s="74"/>
      <c r="O22" s="74"/>
      <c r="P22" s="74"/>
      <c r="Q22" s="74"/>
      <c r="R22" s="60"/>
    </row>
    <row r="23" spans="1:18" ht="26.4">
      <c r="A23" s="59"/>
      <c r="B23" s="93">
        <v>12</v>
      </c>
      <c r="C23" s="93"/>
      <c r="D23" s="93" t="s">
        <v>666</v>
      </c>
      <c r="E23" s="113" t="s">
        <v>521</v>
      </c>
      <c r="F23" s="93" t="s">
        <v>290</v>
      </c>
      <c r="G23" s="93" t="s">
        <v>136</v>
      </c>
      <c r="H23" s="113" t="s">
        <v>306</v>
      </c>
      <c r="I23" s="113" t="s">
        <v>310</v>
      </c>
      <c r="J23" s="117"/>
      <c r="K23" s="113" t="s">
        <v>309</v>
      </c>
      <c r="L23" s="94"/>
      <c r="M23" s="94"/>
      <c r="N23" s="112"/>
      <c r="O23" s="112"/>
      <c r="P23" s="112"/>
      <c r="Q23" s="112"/>
      <c r="R23" s="60"/>
    </row>
    <row r="24" spans="1:18" ht="26.4">
      <c r="A24" s="59"/>
      <c r="B24" s="93">
        <v>13</v>
      </c>
      <c r="C24" s="93"/>
      <c r="D24" s="93" t="s">
        <v>667</v>
      </c>
      <c r="E24" s="113" t="s">
        <v>521</v>
      </c>
      <c r="F24" s="93" t="s">
        <v>290</v>
      </c>
      <c r="G24" s="93" t="s">
        <v>136</v>
      </c>
      <c r="H24" s="113" t="s">
        <v>162</v>
      </c>
      <c r="I24" s="113" t="s">
        <v>311</v>
      </c>
      <c r="J24" s="117" t="s">
        <v>457</v>
      </c>
      <c r="K24" s="117" t="s">
        <v>248</v>
      </c>
      <c r="L24" s="94"/>
      <c r="M24" s="94"/>
      <c r="N24" s="112"/>
      <c r="O24" s="112"/>
      <c r="P24" s="112"/>
      <c r="Q24" s="112"/>
      <c r="R24" s="60"/>
    </row>
    <row r="25" spans="1:18" ht="26.4">
      <c r="A25" s="59"/>
      <c r="B25" s="93">
        <v>14</v>
      </c>
      <c r="C25" s="93"/>
      <c r="D25" s="93" t="s">
        <v>668</v>
      </c>
      <c r="E25" s="113" t="s">
        <v>521</v>
      </c>
      <c r="F25" s="93" t="s">
        <v>318</v>
      </c>
      <c r="G25" s="93" t="s">
        <v>142</v>
      </c>
      <c r="H25" s="113" t="s">
        <v>162</v>
      </c>
      <c r="I25" s="113" t="s">
        <v>289</v>
      </c>
      <c r="J25" s="113"/>
      <c r="K25" s="113" t="s">
        <v>249</v>
      </c>
      <c r="L25" s="94"/>
      <c r="M25" s="94"/>
      <c r="N25" s="112"/>
      <c r="O25" s="112"/>
      <c r="P25" s="112"/>
      <c r="Q25" s="112"/>
      <c r="R25" s="60"/>
    </row>
    <row r="26" spans="1:18" ht="26.4">
      <c r="A26" s="59"/>
      <c r="B26" s="93">
        <v>15</v>
      </c>
      <c r="C26" s="93"/>
      <c r="D26" s="93" t="s">
        <v>669</v>
      </c>
      <c r="E26" s="113" t="s">
        <v>521</v>
      </c>
      <c r="F26" s="93" t="s">
        <v>318</v>
      </c>
      <c r="G26" s="93" t="s">
        <v>142</v>
      </c>
      <c r="H26" s="113" t="s">
        <v>162</v>
      </c>
      <c r="I26" s="113" t="s">
        <v>313</v>
      </c>
      <c r="J26" s="113"/>
      <c r="K26" s="113" t="s">
        <v>249</v>
      </c>
      <c r="L26" s="94"/>
      <c r="M26" s="94"/>
      <c r="N26" s="112"/>
      <c r="O26" s="112"/>
      <c r="P26" s="112"/>
      <c r="Q26" s="112"/>
      <c r="R26" s="60"/>
    </row>
    <row r="27" spans="1:18" ht="39.6">
      <c r="A27" s="59"/>
      <c r="B27" s="93">
        <v>16</v>
      </c>
      <c r="C27" s="93"/>
      <c r="D27" s="93" t="s">
        <v>670</v>
      </c>
      <c r="E27" s="113" t="s">
        <v>521</v>
      </c>
      <c r="F27" s="93" t="s">
        <v>187</v>
      </c>
      <c r="G27" s="93" t="s">
        <v>136</v>
      </c>
      <c r="H27" s="113" t="s">
        <v>306</v>
      </c>
      <c r="I27" s="113" t="s">
        <v>307</v>
      </c>
      <c r="J27" s="117"/>
      <c r="K27" s="117" t="s">
        <v>308</v>
      </c>
      <c r="L27" s="94"/>
      <c r="M27" s="94"/>
      <c r="N27" s="112"/>
      <c r="O27" s="112"/>
      <c r="P27" s="112"/>
      <c r="Q27" s="112"/>
      <c r="R27" s="60"/>
    </row>
    <row r="28" spans="1:18" ht="26.4">
      <c r="A28" s="59"/>
      <c r="B28" s="93">
        <v>17</v>
      </c>
      <c r="C28" s="93"/>
      <c r="D28" s="93" t="s">
        <v>671</v>
      </c>
      <c r="E28" s="113" t="s">
        <v>521</v>
      </c>
      <c r="F28" s="93" t="s">
        <v>187</v>
      </c>
      <c r="G28" s="93" t="s">
        <v>136</v>
      </c>
      <c r="H28" s="113" t="s">
        <v>306</v>
      </c>
      <c r="I28" s="113" t="s">
        <v>310</v>
      </c>
      <c r="J28" s="117"/>
      <c r="K28" s="113" t="s">
        <v>309</v>
      </c>
      <c r="L28" s="94"/>
      <c r="M28" s="94"/>
      <c r="N28" s="112"/>
      <c r="O28" s="112"/>
      <c r="P28" s="112"/>
      <c r="Q28" s="112"/>
      <c r="R28" s="60"/>
    </row>
    <row r="29" spans="1:18" ht="26.4">
      <c r="A29" s="59"/>
      <c r="B29" s="93">
        <v>18</v>
      </c>
      <c r="C29" s="93"/>
      <c r="D29" s="93" t="s">
        <v>672</v>
      </c>
      <c r="E29" s="113" t="s">
        <v>521</v>
      </c>
      <c r="F29" s="93" t="s">
        <v>187</v>
      </c>
      <c r="G29" s="93" t="s">
        <v>136</v>
      </c>
      <c r="H29" s="113" t="s">
        <v>162</v>
      </c>
      <c r="I29" s="113" t="s">
        <v>311</v>
      </c>
      <c r="J29" s="117" t="s">
        <v>457</v>
      </c>
      <c r="K29" s="117" t="s">
        <v>248</v>
      </c>
      <c r="L29" s="94"/>
      <c r="M29" s="94"/>
      <c r="N29" s="112"/>
      <c r="O29" s="112"/>
      <c r="P29" s="112"/>
      <c r="Q29" s="112"/>
      <c r="R29" s="60"/>
    </row>
    <row r="30" spans="1:18" ht="26.4">
      <c r="A30" s="59"/>
      <c r="B30" s="93">
        <v>19</v>
      </c>
      <c r="C30" s="93"/>
      <c r="D30" s="93" t="s">
        <v>673</v>
      </c>
      <c r="E30" s="113" t="s">
        <v>521</v>
      </c>
      <c r="F30" s="93" t="s">
        <v>318</v>
      </c>
      <c r="G30" s="93" t="s">
        <v>142</v>
      </c>
      <c r="H30" s="113" t="s">
        <v>162</v>
      </c>
      <c r="I30" s="113" t="s">
        <v>289</v>
      </c>
      <c r="J30" s="113"/>
      <c r="K30" s="113" t="s">
        <v>249</v>
      </c>
      <c r="L30" s="94"/>
      <c r="M30" s="94"/>
      <c r="N30" s="112"/>
      <c r="O30" s="112"/>
      <c r="P30" s="112"/>
      <c r="Q30" s="112"/>
      <c r="R30" s="60"/>
    </row>
    <row r="31" spans="1:18" ht="26.4">
      <c r="A31" s="59"/>
      <c r="B31" s="93">
        <v>20</v>
      </c>
      <c r="C31" s="93"/>
      <c r="D31" s="93" t="s">
        <v>674</v>
      </c>
      <c r="E31" s="113" t="s">
        <v>521</v>
      </c>
      <c r="F31" s="93" t="s">
        <v>318</v>
      </c>
      <c r="G31" s="93" t="s">
        <v>142</v>
      </c>
      <c r="H31" s="113" t="s">
        <v>162</v>
      </c>
      <c r="I31" s="113" t="s">
        <v>313</v>
      </c>
      <c r="J31" s="113"/>
      <c r="K31" s="113" t="s">
        <v>249</v>
      </c>
      <c r="L31" s="94"/>
      <c r="M31" s="94"/>
      <c r="N31" s="112"/>
      <c r="O31" s="112"/>
      <c r="P31" s="112"/>
      <c r="Q31" s="112"/>
      <c r="R31" s="60"/>
    </row>
    <row r="32" spans="1:18" ht="52.8">
      <c r="A32" s="59"/>
      <c r="B32" s="93">
        <v>21</v>
      </c>
      <c r="C32" s="93" t="s">
        <v>125</v>
      </c>
      <c r="D32" s="93" t="s">
        <v>419</v>
      </c>
      <c r="E32" s="113" t="s">
        <v>520</v>
      </c>
      <c r="F32" s="93" t="s">
        <v>318</v>
      </c>
      <c r="G32" s="93" t="s">
        <v>136</v>
      </c>
      <c r="H32" s="113" t="s">
        <v>163</v>
      </c>
      <c r="I32" s="113" t="s">
        <v>458</v>
      </c>
      <c r="J32" s="117"/>
      <c r="K32" s="110" t="s">
        <v>329</v>
      </c>
      <c r="L32" s="94"/>
      <c r="M32" s="94"/>
      <c r="N32" s="112"/>
      <c r="O32" s="112"/>
      <c r="P32" s="112"/>
      <c r="Q32" s="112"/>
      <c r="R32" s="60"/>
    </row>
    <row r="33" spans="1:18" ht="39.6">
      <c r="A33" s="59"/>
      <c r="B33" s="93">
        <v>22</v>
      </c>
      <c r="C33" s="93"/>
      <c r="D33" s="93" t="s">
        <v>420</v>
      </c>
      <c r="E33" s="113" t="s">
        <v>520</v>
      </c>
      <c r="F33" s="93" t="s">
        <v>318</v>
      </c>
      <c r="G33" s="93" t="s">
        <v>138</v>
      </c>
      <c r="H33" s="113" t="s">
        <v>284</v>
      </c>
      <c r="I33" s="113" t="s">
        <v>459</v>
      </c>
      <c r="J33" s="117"/>
      <c r="K33" s="117" t="s">
        <v>330</v>
      </c>
      <c r="L33" s="94"/>
      <c r="M33" s="94"/>
      <c r="N33" s="112"/>
      <c r="O33" s="112"/>
      <c r="P33" s="112"/>
      <c r="Q33" s="112"/>
      <c r="R33" s="60"/>
    </row>
    <row r="34" spans="1:18" ht="26.4">
      <c r="A34" s="59"/>
      <c r="B34" s="93">
        <v>23</v>
      </c>
      <c r="C34" s="93"/>
      <c r="D34" s="93" t="s">
        <v>421</v>
      </c>
      <c r="E34" s="113" t="s">
        <v>520</v>
      </c>
      <c r="F34" s="93" t="s">
        <v>318</v>
      </c>
      <c r="G34" s="93" t="s">
        <v>136</v>
      </c>
      <c r="H34" s="113" t="s">
        <v>284</v>
      </c>
      <c r="I34" s="113" t="s">
        <v>461</v>
      </c>
      <c r="J34" s="113"/>
      <c r="K34" s="113" t="s">
        <v>314</v>
      </c>
      <c r="L34" s="94"/>
      <c r="M34" s="94"/>
      <c r="N34" s="112"/>
      <c r="O34" s="112"/>
      <c r="P34" s="112"/>
      <c r="Q34" s="112"/>
      <c r="R34" s="60"/>
    </row>
    <row r="35" spans="1:18" ht="52.8">
      <c r="A35" s="59"/>
      <c r="B35" s="93">
        <v>24</v>
      </c>
      <c r="C35" s="93"/>
      <c r="D35" s="93" t="s">
        <v>422</v>
      </c>
      <c r="E35" s="113" t="s">
        <v>520</v>
      </c>
      <c r="F35" s="93" t="s">
        <v>318</v>
      </c>
      <c r="G35" s="93" t="s">
        <v>142</v>
      </c>
      <c r="H35" s="113" t="s">
        <v>164</v>
      </c>
      <c r="I35" s="113" t="s">
        <v>472</v>
      </c>
      <c r="J35" s="117"/>
      <c r="K35" s="118" t="s">
        <v>305</v>
      </c>
      <c r="L35" s="94"/>
      <c r="M35" s="94"/>
      <c r="N35" s="112"/>
      <c r="O35" s="112"/>
      <c r="P35" s="112"/>
      <c r="Q35" s="112"/>
      <c r="R35" s="60"/>
    </row>
    <row r="36" spans="1:18" ht="52.8">
      <c r="A36" s="59"/>
      <c r="B36" s="93">
        <v>25</v>
      </c>
      <c r="C36" s="93"/>
      <c r="D36" s="93" t="s">
        <v>423</v>
      </c>
      <c r="E36" s="113" t="s">
        <v>520</v>
      </c>
      <c r="F36" s="93" t="s">
        <v>318</v>
      </c>
      <c r="G36" s="93" t="s">
        <v>142</v>
      </c>
      <c r="H36" s="113" t="s">
        <v>164</v>
      </c>
      <c r="I36" s="113" t="s">
        <v>471</v>
      </c>
      <c r="J36" s="113"/>
      <c r="K36" s="116" t="s">
        <v>475</v>
      </c>
      <c r="L36" s="94"/>
      <c r="M36" s="94"/>
      <c r="N36" s="112"/>
      <c r="O36" s="112"/>
      <c r="P36" s="112"/>
      <c r="Q36" s="112"/>
      <c r="R36" s="60"/>
    </row>
    <row r="37" spans="1:18" ht="52.8">
      <c r="A37" s="59"/>
      <c r="B37" s="93">
        <v>26</v>
      </c>
      <c r="C37" s="93"/>
      <c r="D37" s="93" t="s">
        <v>424</v>
      </c>
      <c r="E37" s="113" t="s">
        <v>520</v>
      </c>
      <c r="F37" s="93" t="s">
        <v>318</v>
      </c>
      <c r="G37" s="93" t="s">
        <v>142</v>
      </c>
      <c r="H37" s="113" t="s">
        <v>164</v>
      </c>
      <c r="I37" s="113" t="s">
        <v>473</v>
      </c>
      <c r="J37" s="113"/>
      <c r="K37" s="116" t="s">
        <v>474</v>
      </c>
      <c r="L37" s="94"/>
      <c r="M37" s="94"/>
      <c r="N37" s="112"/>
      <c r="O37" s="112"/>
      <c r="P37" s="112"/>
      <c r="Q37" s="112"/>
      <c r="R37" s="60"/>
    </row>
    <row r="38" spans="1:18" ht="52.8">
      <c r="A38" s="59"/>
      <c r="B38" s="93">
        <v>27</v>
      </c>
      <c r="C38" s="93"/>
      <c r="D38" s="93" t="s">
        <v>425</v>
      </c>
      <c r="E38" s="113" t="s">
        <v>520</v>
      </c>
      <c r="F38" s="93" t="s">
        <v>318</v>
      </c>
      <c r="G38" s="93" t="s">
        <v>136</v>
      </c>
      <c r="H38" s="113" t="s">
        <v>157</v>
      </c>
      <c r="I38" s="113" t="s">
        <v>464</v>
      </c>
      <c r="J38" s="117" t="s">
        <v>462</v>
      </c>
      <c r="K38" s="118" t="s">
        <v>269</v>
      </c>
      <c r="L38" s="94"/>
      <c r="M38" s="94"/>
      <c r="N38" s="112"/>
      <c r="O38" s="112"/>
      <c r="P38" s="112"/>
      <c r="Q38" s="112"/>
      <c r="R38" s="60"/>
    </row>
    <row r="39" spans="1:18" ht="52.8">
      <c r="A39" s="59"/>
      <c r="B39" s="93">
        <v>28</v>
      </c>
      <c r="C39" s="93"/>
      <c r="D39" s="93" t="s">
        <v>426</v>
      </c>
      <c r="E39" s="113" t="s">
        <v>520</v>
      </c>
      <c r="F39" s="93" t="s">
        <v>318</v>
      </c>
      <c r="G39" s="93" t="s">
        <v>136</v>
      </c>
      <c r="H39" s="113" t="s">
        <v>157</v>
      </c>
      <c r="I39" s="113" t="s">
        <v>470</v>
      </c>
      <c r="J39" s="117"/>
      <c r="K39" s="118" t="s">
        <v>476</v>
      </c>
      <c r="L39" s="94"/>
      <c r="M39" s="94"/>
      <c r="N39" s="112"/>
      <c r="O39" s="112"/>
      <c r="P39" s="112"/>
      <c r="Q39" s="112"/>
      <c r="R39" s="60"/>
    </row>
    <row r="40" spans="1:18" ht="52.8">
      <c r="A40" s="59"/>
      <c r="B40" s="93">
        <v>29</v>
      </c>
      <c r="C40" s="93"/>
      <c r="D40" s="93" t="s">
        <v>427</v>
      </c>
      <c r="E40" s="113" t="s">
        <v>520</v>
      </c>
      <c r="F40" s="93" t="s">
        <v>318</v>
      </c>
      <c r="G40" s="93" t="s">
        <v>142</v>
      </c>
      <c r="H40" s="113" t="s">
        <v>157</v>
      </c>
      <c r="I40" s="113" t="s">
        <v>463</v>
      </c>
      <c r="J40" s="113"/>
      <c r="K40" s="116" t="s">
        <v>477</v>
      </c>
      <c r="L40" s="94"/>
      <c r="M40" s="94"/>
      <c r="N40" s="112"/>
      <c r="O40" s="112"/>
      <c r="P40" s="112"/>
      <c r="Q40" s="112"/>
      <c r="R40" s="60"/>
    </row>
    <row r="41" spans="1:18" ht="79.2">
      <c r="A41" s="59"/>
      <c r="B41" s="93">
        <v>30</v>
      </c>
      <c r="C41" s="93"/>
      <c r="D41" s="93" t="s">
        <v>428</v>
      </c>
      <c r="E41" s="113" t="s">
        <v>520</v>
      </c>
      <c r="F41" s="93" t="s">
        <v>318</v>
      </c>
      <c r="G41" s="93" t="s">
        <v>142</v>
      </c>
      <c r="H41" s="113" t="s">
        <v>157</v>
      </c>
      <c r="I41" s="113" t="s">
        <v>465</v>
      </c>
      <c r="J41" s="113"/>
      <c r="K41" s="116" t="s">
        <v>304</v>
      </c>
      <c r="L41" s="94"/>
      <c r="M41" s="94"/>
      <c r="N41" s="112"/>
      <c r="O41" s="112"/>
      <c r="P41" s="112"/>
      <c r="Q41" s="112"/>
      <c r="R41" s="60"/>
    </row>
    <row r="42" spans="1:18" ht="39.6">
      <c r="A42" s="59"/>
      <c r="B42" s="93">
        <v>31</v>
      </c>
      <c r="C42" s="93"/>
      <c r="D42" s="93" t="s">
        <v>429</v>
      </c>
      <c r="E42" s="113" t="s">
        <v>520</v>
      </c>
      <c r="F42" s="93" t="s">
        <v>318</v>
      </c>
      <c r="G42" s="93" t="s">
        <v>136</v>
      </c>
      <c r="H42" s="113" t="s">
        <v>273</v>
      </c>
      <c r="I42" s="113" t="s">
        <v>466</v>
      </c>
      <c r="J42" s="117" t="s">
        <v>173</v>
      </c>
      <c r="K42" s="118" t="s">
        <v>303</v>
      </c>
      <c r="L42" s="94"/>
      <c r="M42" s="94"/>
      <c r="N42" s="112"/>
      <c r="O42" s="112"/>
      <c r="P42" s="112"/>
      <c r="Q42" s="112"/>
      <c r="R42" s="60"/>
    </row>
    <row r="43" spans="1:18" ht="52.8">
      <c r="A43" s="59"/>
      <c r="B43" s="93">
        <v>32</v>
      </c>
      <c r="C43" s="93"/>
      <c r="D43" s="93" t="s">
        <v>430</v>
      </c>
      <c r="E43" s="113" t="s">
        <v>520</v>
      </c>
      <c r="F43" s="93" t="s">
        <v>318</v>
      </c>
      <c r="G43" s="93" t="s">
        <v>142</v>
      </c>
      <c r="H43" s="113" t="s">
        <v>273</v>
      </c>
      <c r="I43" s="113" t="s">
        <v>466</v>
      </c>
      <c r="J43" s="113"/>
      <c r="K43" s="116" t="s">
        <v>275</v>
      </c>
      <c r="L43" s="94"/>
      <c r="M43" s="94"/>
      <c r="N43" s="112"/>
      <c r="O43" s="112"/>
      <c r="P43" s="112"/>
      <c r="Q43" s="112"/>
      <c r="R43" s="60"/>
    </row>
    <row r="44" spans="1:18" ht="39.6">
      <c r="A44" s="59"/>
      <c r="B44" s="93">
        <v>33</v>
      </c>
      <c r="C44" s="93"/>
      <c r="D44" s="93" t="s">
        <v>431</v>
      </c>
      <c r="E44" s="113" t="s">
        <v>520</v>
      </c>
      <c r="F44" s="93" t="s">
        <v>318</v>
      </c>
      <c r="G44" s="93" t="s">
        <v>142</v>
      </c>
      <c r="H44" s="113" t="s">
        <v>159</v>
      </c>
      <c r="I44" s="113" t="s">
        <v>467</v>
      </c>
      <c r="J44" s="117" t="s">
        <v>174</v>
      </c>
      <c r="K44" s="117" t="s">
        <v>158</v>
      </c>
      <c r="L44" s="94"/>
      <c r="M44" s="94"/>
      <c r="N44" s="112"/>
      <c r="O44" s="112"/>
      <c r="P44" s="112"/>
      <c r="Q44" s="112"/>
      <c r="R44" s="60"/>
    </row>
    <row r="45" spans="1:18" ht="79.2">
      <c r="A45" s="59"/>
      <c r="B45" s="93">
        <v>34</v>
      </c>
      <c r="C45" s="93"/>
      <c r="D45" s="93" t="s">
        <v>432</v>
      </c>
      <c r="E45" s="113" t="s">
        <v>519</v>
      </c>
      <c r="F45" s="93" t="s">
        <v>318</v>
      </c>
      <c r="G45" s="93" t="s">
        <v>142</v>
      </c>
      <c r="H45" s="113" t="s">
        <v>298</v>
      </c>
      <c r="I45" s="116" t="s">
        <v>302</v>
      </c>
      <c r="J45" s="117"/>
      <c r="K45" s="118" t="s">
        <v>278</v>
      </c>
      <c r="L45" s="94"/>
      <c r="M45" s="94"/>
      <c r="N45" s="112"/>
      <c r="O45" s="112"/>
      <c r="P45" s="112"/>
      <c r="Q45" s="112"/>
      <c r="R45" s="60"/>
    </row>
    <row r="46" spans="1:18" ht="79.2">
      <c r="A46" s="59"/>
      <c r="B46" s="93">
        <v>35</v>
      </c>
      <c r="C46" s="93"/>
      <c r="D46" s="93" t="s">
        <v>433</v>
      </c>
      <c r="E46" s="113" t="s">
        <v>519</v>
      </c>
      <c r="F46" s="93" t="s">
        <v>318</v>
      </c>
      <c r="G46" s="93" t="s">
        <v>142</v>
      </c>
      <c r="H46" s="113" t="s">
        <v>298</v>
      </c>
      <c r="I46" s="116" t="s">
        <v>299</v>
      </c>
      <c r="J46" s="113"/>
      <c r="K46" s="116" t="s">
        <v>280</v>
      </c>
      <c r="L46" s="94"/>
      <c r="M46" s="94"/>
      <c r="N46" s="112"/>
      <c r="O46" s="112"/>
      <c r="P46" s="112"/>
      <c r="Q46" s="112"/>
      <c r="R46" s="60"/>
    </row>
    <row r="47" spans="1:18" ht="52.8">
      <c r="A47" s="59"/>
      <c r="B47" s="93">
        <v>36</v>
      </c>
      <c r="C47" s="93"/>
      <c r="D47" s="93" t="s">
        <v>434</v>
      </c>
      <c r="E47" s="113" t="s">
        <v>519</v>
      </c>
      <c r="F47" s="93" t="s">
        <v>318</v>
      </c>
      <c r="G47" s="93" t="s">
        <v>142</v>
      </c>
      <c r="H47" s="113" t="s">
        <v>297</v>
      </c>
      <c r="I47" s="116" t="s">
        <v>300</v>
      </c>
      <c r="J47" s="117"/>
      <c r="K47" s="118" t="s">
        <v>281</v>
      </c>
      <c r="L47" s="94"/>
      <c r="M47" s="94"/>
      <c r="N47" s="112"/>
      <c r="O47" s="112"/>
      <c r="P47" s="112"/>
      <c r="Q47" s="112"/>
      <c r="R47" s="60"/>
    </row>
    <row r="48" spans="1:18" ht="52.8">
      <c r="A48" s="59"/>
      <c r="B48" s="93">
        <v>37</v>
      </c>
      <c r="C48" s="93"/>
      <c r="D48" s="93" t="s">
        <v>435</v>
      </c>
      <c r="E48" s="113" t="s">
        <v>519</v>
      </c>
      <c r="F48" s="93" t="s">
        <v>318</v>
      </c>
      <c r="G48" s="93" t="s">
        <v>142</v>
      </c>
      <c r="H48" s="113" t="s">
        <v>297</v>
      </c>
      <c r="I48" s="116" t="s">
        <v>300</v>
      </c>
      <c r="J48" s="113"/>
      <c r="K48" s="116" t="s">
        <v>301</v>
      </c>
      <c r="L48" s="94"/>
      <c r="M48" s="94"/>
      <c r="N48" s="112"/>
      <c r="O48" s="112"/>
      <c r="P48" s="112"/>
      <c r="Q48" s="112"/>
      <c r="R48" s="60"/>
    </row>
    <row r="49" spans="1:18" ht="66">
      <c r="A49" s="59"/>
      <c r="B49" s="93">
        <v>38</v>
      </c>
      <c r="C49" s="93"/>
      <c r="D49" s="93" t="s">
        <v>436</v>
      </c>
      <c r="E49" s="113" t="s">
        <v>518</v>
      </c>
      <c r="F49" s="93" t="s">
        <v>318</v>
      </c>
      <c r="G49" s="93" t="s">
        <v>142</v>
      </c>
      <c r="H49" s="113" t="s">
        <v>160</v>
      </c>
      <c r="I49" s="113" t="s">
        <v>283</v>
      </c>
      <c r="J49" s="117" t="s">
        <v>161</v>
      </c>
      <c r="K49" s="117" t="s">
        <v>315</v>
      </c>
      <c r="L49" s="94"/>
      <c r="M49" s="94"/>
      <c r="N49" s="112"/>
      <c r="O49" s="112"/>
      <c r="P49" s="112"/>
      <c r="Q49" s="112"/>
      <c r="R49" s="60"/>
    </row>
    <row r="50" spans="1:18">
      <c r="A50" s="59"/>
      <c r="B50" s="93"/>
      <c r="C50" s="93"/>
      <c r="D50" s="93"/>
      <c r="E50" s="97"/>
      <c r="F50" s="95"/>
      <c r="G50" s="95"/>
      <c r="H50" s="95"/>
      <c r="I50" s="96"/>
      <c r="J50" s="97"/>
      <c r="K50" s="97"/>
      <c r="L50" s="98"/>
      <c r="M50" s="98"/>
      <c r="N50" s="74"/>
      <c r="O50" s="74"/>
      <c r="P50" s="74"/>
      <c r="Q50" s="74"/>
      <c r="R50" s="60"/>
    </row>
    <row r="51" spans="1:18">
      <c r="B51" s="50"/>
      <c r="C51" s="50"/>
      <c r="D51" s="50"/>
      <c r="E51" s="50"/>
      <c r="F51" s="50"/>
      <c r="G51" s="50"/>
      <c r="H51" s="50"/>
      <c r="I51" s="50"/>
      <c r="J51" s="51"/>
      <c r="K51" s="51"/>
      <c r="L51" s="66"/>
      <c r="M51" s="66"/>
      <c r="N51" s="66"/>
      <c r="O51" s="66"/>
      <c r="P51" s="66"/>
      <c r="Q51" s="66"/>
    </row>
  </sheetData>
  <mergeCells count="7">
    <mergeCell ref="C2:K2"/>
    <mergeCell ref="B9:K9"/>
    <mergeCell ref="B4:K4"/>
    <mergeCell ref="B5:K5"/>
    <mergeCell ref="B6:K6"/>
    <mergeCell ref="B7:K7"/>
    <mergeCell ref="B8:K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A49A-5579-4941-B959-BBFC7AFE53DC}">
  <sheetPr codeName="Sheet9">
    <pageSetUpPr fitToPage="1"/>
  </sheetPr>
  <dimension ref="A1:BC14"/>
  <sheetViews>
    <sheetView zoomScaleNormal="100" workbookViewId="0">
      <selection activeCell="D27" sqref="D27"/>
    </sheetView>
  </sheetViews>
  <sheetFormatPr defaultColWidth="8.8984375" defaultRowHeight="13.2"/>
  <cols>
    <col min="1" max="2" width="10.69921875" style="6" customWidth="1"/>
    <col min="3" max="5" width="10.69921875" style="5" customWidth="1"/>
    <col min="6" max="6" width="16.3984375" style="5" customWidth="1"/>
    <col min="7" max="7" width="16.8984375" style="5" customWidth="1"/>
    <col min="8" max="33" width="8.69921875" style="5" customWidth="1"/>
    <col min="34" max="16384" width="8.8984375" style="5"/>
  </cols>
  <sheetData>
    <row r="1" spans="1:55" ht="66" customHeight="1">
      <c r="A1" s="3"/>
      <c r="B1" s="3"/>
      <c r="C1" s="4"/>
      <c r="D1" s="4"/>
    </row>
    <row r="2" spans="1:55" ht="10.050000000000001" customHeight="1">
      <c r="A2" s="3"/>
      <c r="B2" s="3"/>
      <c r="C2" s="4"/>
      <c r="D2" s="4"/>
    </row>
    <row r="3" spans="1:55" ht="15" customHeight="1">
      <c r="A3" s="163" t="s">
        <v>23</v>
      </c>
      <c r="B3" s="163" t="s">
        <v>59</v>
      </c>
      <c r="C3" s="163"/>
      <c r="D3" s="163"/>
      <c r="E3" s="163" t="s">
        <v>62</v>
      </c>
      <c r="F3" s="163"/>
      <c r="G3" s="163"/>
      <c r="H3" s="163"/>
      <c r="I3" s="163" t="s">
        <v>67</v>
      </c>
      <c r="J3" s="163"/>
      <c r="K3" s="163"/>
      <c r="L3" s="2" t="s">
        <v>72</v>
      </c>
      <c r="M3" s="163" t="s">
        <v>74</v>
      </c>
      <c r="N3" s="163"/>
      <c r="O3" s="163"/>
      <c r="P3" s="163"/>
      <c r="Q3" s="163" t="s">
        <v>80</v>
      </c>
      <c r="R3" s="163"/>
      <c r="S3" s="163"/>
      <c r="T3" s="163"/>
      <c r="U3" s="163" t="s">
        <v>45</v>
      </c>
      <c r="V3" s="163"/>
      <c r="W3" s="163"/>
      <c r="X3" s="163" t="s">
        <v>46</v>
      </c>
      <c r="Y3" s="163"/>
      <c r="Z3" s="163" t="s">
        <v>35</v>
      </c>
      <c r="AA3" s="163"/>
      <c r="AB3" s="163" t="s">
        <v>85</v>
      </c>
      <c r="AC3" s="163"/>
      <c r="AD3" s="163"/>
      <c r="AE3" s="163"/>
      <c r="AF3" s="163" t="s">
        <v>86</v>
      </c>
      <c r="AG3" s="163"/>
      <c r="AH3" s="163"/>
      <c r="AI3" s="163"/>
      <c r="AJ3" s="163"/>
      <c r="AK3" s="167" t="s">
        <v>47</v>
      </c>
      <c r="AL3" s="167"/>
      <c r="AM3" s="167"/>
      <c r="AN3" s="167"/>
      <c r="AO3" s="167"/>
      <c r="AP3" s="167"/>
      <c r="AQ3" s="167"/>
      <c r="AR3" s="167" t="s">
        <v>48</v>
      </c>
      <c r="AS3" s="167"/>
      <c r="AT3" s="167"/>
      <c r="AU3" s="164" t="s">
        <v>90</v>
      </c>
      <c r="AV3" s="164"/>
      <c r="AW3" s="164"/>
      <c r="AX3" s="164"/>
      <c r="AY3" s="164" t="s">
        <v>91</v>
      </c>
      <c r="AZ3" s="164"/>
      <c r="BA3" s="164"/>
      <c r="BB3" s="164"/>
      <c r="BC3" s="164"/>
    </row>
    <row r="4" spans="1:55" ht="15" customHeight="1">
      <c r="A4" s="163"/>
      <c r="B4" s="2"/>
      <c r="C4" s="2"/>
      <c r="D4" s="2"/>
      <c r="E4" s="2"/>
      <c r="F4" s="2"/>
      <c r="G4" s="2"/>
      <c r="H4" s="2"/>
      <c r="I4" s="163" t="s">
        <v>68</v>
      </c>
      <c r="J4" s="163" t="s">
        <v>69</v>
      </c>
      <c r="K4" s="163"/>
      <c r="L4" s="163" t="s">
        <v>73</v>
      </c>
      <c r="M4" s="163" t="s">
        <v>75</v>
      </c>
      <c r="N4" s="163"/>
      <c r="O4" s="163"/>
      <c r="P4" s="163" t="s">
        <v>79</v>
      </c>
      <c r="Q4" s="163" t="s">
        <v>81</v>
      </c>
      <c r="R4" s="163" t="s">
        <v>82</v>
      </c>
      <c r="S4" s="163" t="s">
        <v>83</v>
      </c>
      <c r="T4" s="163" t="s">
        <v>84</v>
      </c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8" t="s">
        <v>49</v>
      </c>
      <c r="AL4" s="168" t="s">
        <v>50</v>
      </c>
      <c r="AM4" s="165" t="s">
        <v>51</v>
      </c>
      <c r="AN4" s="165"/>
      <c r="AO4" s="165"/>
      <c r="AP4" s="166" t="s">
        <v>52</v>
      </c>
      <c r="AQ4" s="166"/>
      <c r="AR4" s="168" t="s">
        <v>53</v>
      </c>
      <c r="AS4" s="168" t="s">
        <v>54</v>
      </c>
      <c r="AT4" s="168" t="s">
        <v>87</v>
      </c>
      <c r="AU4" s="164"/>
      <c r="AV4" s="164"/>
      <c r="AW4" s="164"/>
      <c r="AX4" s="164"/>
      <c r="AY4" s="164"/>
      <c r="AZ4" s="164"/>
      <c r="BA4" s="164"/>
      <c r="BB4" s="164"/>
      <c r="BC4" s="164"/>
    </row>
    <row r="5" spans="1:55" ht="15" customHeight="1">
      <c r="A5" s="163"/>
      <c r="B5" s="2" t="s">
        <v>60</v>
      </c>
      <c r="C5" s="2" t="s">
        <v>61</v>
      </c>
      <c r="D5" s="2" t="s">
        <v>19</v>
      </c>
      <c r="E5" s="2" t="s">
        <v>63</v>
      </c>
      <c r="F5" s="2" t="s">
        <v>64</v>
      </c>
      <c r="G5" s="2" t="s">
        <v>65</v>
      </c>
      <c r="H5" s="2" t="s">
        <v>66</v>
      </c>
      <c r="I5" s="163"/>
      <c r="J5" s="2" t="s">
        <v>70</v>
      </c>
      <c r="K5" s="2" t="s">
        <v>71</v>
      </c>
      <c r="L5" s="163"/>
      <c r="M5" s="2" t="s">
        <v>76</v>
      </c>
      <c r="N5" s="2" t="s">
        <v>77</v>
      </c>
      <c r="O5" s="2" t="s">
        <v>78</v>
      </c>
      <c r="P5" s="163"/>
      <c r="Q5" s="163"/>
      <c r="R5" s="163"/>
      <c r="S5" s="163"/>
      <c r="T5" s="163"/>
      <c r="U5" s="2" t="s">
        <v>29</v>
      </c>
      <c r="V5" s="2" t="s">
        <v>30</v>
      </c>
      <c r="W5" s="2" t="s">
        <v>31</v>
      </c>
      <c r="X5" s="2" t="s">
        <v>32</v>
      </c>
      <c r="Y5" s="2" t="s">
        <v>36</v>
      </c>
      <c r="Z5" s="2" t="s">
        <v>33</v>
      </c>
      <c r="AA5" s="2" t="s">
        <v>34</v>
      </c>
      <c r="AB5" s="2" t="s">
        <v>88</v>
      </c>
      <c r="AC5" s="2" t="s">
        <v>24</v>
      </c>
      <c r="AD5" s="2" t="s">
        <v>25</v>
      </c>
      <c r="AE5" s="2" t="s">
        <v>28</v>
      </c>
      <c r="AF5" s="2" t="s">
        <v>27</v>
      </c>
      <c r="AG5" s="2" t="s">
        <v>26</v>
      </c>
      <c r="AH5" s="2" t="s">
        <v>37</v>
      </c>
      <c r="AI5" s="2" t="s">
        <v>43</v>
      </c>
      <c r="AJ5" s="2" t="s">
        <v>28</v>
      </c>
      <c r="AK5" s="168"/>
      <c r="AL5" s="168"/>
      <c r="AM5" s="32" t="s">
        <v>55</v>
      </c>
      <c r="AN5" s="32" t="s">
        <v>56</v>
      </c>
      <c r="AO5" s="33" t="s">
        <v>57</v>
      </c>
      <c r="AP5" s="34" t="s">
        <v>58</v>
      </c>
      <c r="AQ5" s="35" t="s">
        <v>56</v>
      </c>
      <c r="AR5" s="168"/>
      <c r="AS5" s="168"/>
      <c r="AT5" s="168"/>
      <c r="AU5" s="36" t="s">
        <v>89</v>
      </c>
      <c r="AV5" s="36" t="s">
        <v>24</v>
      </c>
      <c r="AW5" s="36" t="s">
        <v>25</v>
      </c>
      <c r="AX5" s="36" t="s">
        <v>28</v>
      </c>
      <c r="AY5" s="36" t="s">
        <v>27</v>
      </c>
      <c r="AZ5" s="36" t="s">
        <v>26</v>
      </c>
      <c r="BA5" s="36" t="s">
        <v>37</v>
      </c>
      <c r="BB5" s="36" t="s">
        <v>43</v>
      </c>
      <c r="BC5" s="36" t="s">
        <v>28</v>
      </c>
    </row>
    <row r="6" spans="1:55" ht="15" customHeight="1">
      <c r="A6" s="29" t="s">
        <v>95</v>
      </c>
      <c r="B6" s="28" t="s">
        <v>93</v>
      </c>
      <c r="C6" s="28" t="s">
        <v>94</v>
      </c>
      <c r="D6" s="28">
        <v>12345</v>
      </c>
      <c r="E6" s="29" t="s">
        <v>93</v>
      </c>
      <c r="F6" s="37"/>
      <c r="G6" s="37"/>
      <c r="H6" s="37"/>
      <c r="I6" s="38" t="s">
        <v>92</v>
      </c>
      <c r="J6" s="37"/>
      <c r="K6" s="37"/>
      <c r="L6" s="38" t="s">
        <v>92</v>
      </c>
      <c r="M6" s="38" t="s">
        <v>92</v>
      </c>
      <c r="N6" s="37"/>
      <c r="O6" s="37"/>
      <c r="P6" s="37"/>
      <c r="Q6" s="38" t="s">
        <v>92</v>
      </c>
      <c r="R6" s="37"/>
      <c r="S6" s="37"/>
      <c r="T6" s="37"/>
      <c r="U6" s="26" t="s">
        <v>21</v>
      </c>
      <c r="V6" s="26" t="s">
        <v>21</v>
      </c>
      <c r="W6" s="26" t="s">
        <v>21</v>
      </c>
      <c r="X6" s="26" t="s">
        <v>38</v>
      </c>
      <c r="Y6" s="26" t="s">
        <v>21</v>
      </c>
      <c r="Z6" s="26" t="s">
        <v>39</v>
      </c>
      <c r="AA6" s="26" t="s">
        <v>40</v>
      </c>
      <c r="AB6" s="26"/>
      <c r="AC6" s="26" t="s">
        <v>41</v>
      </c>
      <c r="AD6" s="30" t="s">
        <v>42</v>
      </c>
      <c r="AE6" s="27"/>
      <c r="AF6" s="27"/>
      <c r="AG6" s="27"/>
      <c r="AH6" s="31" t="s">
        <v>44</v>
      </c>
      <c r="AI6" s="30" t="s">
        <v>42</v>
      </c>
      <c r="AJ6" s="27"/>
      <c r="AK6" s="38" t="s">
        <v>92</v>
      </c>
      <c r="AL6" s="27"/>
      <c r="AM6" s="27"/>
      <c r="AN6" s="27"/>
      <c r="AO6" s="27"/>
      <c r="AP6" s="27"/>
      <c r="AQ6" s="27"/>
      <c r="AR6" s="38" t="s">
        <v>92</v>
      </c>
      <c r="AS6" s="27"/>
      <c r="AT6" s="38"/>
      <c r="AU6" s="26"/>
      <c r="AV6" s="26" t="s">
        <v>41</v>
      </c>
      <c r="AW6" s="30" t="s">
        <v>42</v>
      </c>
      <c r="AX6" s="27"/>
      <c r="AY6" s="27"/>
      <c r="AZ6" s="27"/>
      <c r="BA6" s="31" t="s">
        <v>44</v>
      </c>
      <c r="BB6" s="30" t="s">
        <v>42</v>
      </c>
      <c r="BC6" s="27"/>
    </row>
    <row r="7" spans="1:55" ht="15" customHeight="1">
      <c r="A7" s="29" t="s">
        <v>95</v>
      </c>
      <c r="B7" s="28" t="s">
        <v>93</v>
      </c>
      <c r="C7" s="28" t="s">
        <v>94</v>
      </c>
      <c r="D7" s="28">
        <v>12345</v>
      </c>
      <c r="E7" s="29" t="s">
        <v>93</v>
      </c>
      <c r="F7" s="37"/>
      <c r="G7" s="37"/>
      <c r="H7" s="37"/>
      <c r="I7" s="38" t="s">
        <v>92</v>
      </c>
      <c r="J7" s="37"/>
      <c r="K7" s="37"/>
      <c r="L7" s="38" t="s">
        <v>92</v>
      </c>
      <c r="M7" s="38"/>
      <c r="N7" s="38" t="s">
        <v>92</v>
      </c>
      <c r="O7" s="37"/>
      <c r="P7" s="38" t="s">
        <v>92</v>
      </c>
      <c r="Q7" s="38"/>
      <c r="R7" s="38" t="s">
        <v>92</v>
      </c>
      <c r="S7" s="37"/>
      <c r="T7" s="37"/>
      <c r="U7" s="26" t="s">
        <v>21</v>
      </c>
      <c r="V7" s="26" t="s">
        <v>21</v>
      </c>
      <c r="W7" s="26" t="s">
        <v>21</v>
      </c>
      <c r="X7" s="26" t="s">
        <v>38</v>
      </c>
      <c r="Y7" s="26" t="s">
        <v>21</v>
      </c>
      <c r="Z7" s="26" t="s">
        <v>39</v>
      </c>
      <c r="AA7" s="26" t="s">
        <v>40</v>
      </c>
      <c r="AB7" s="26"/>
      <c r="AC7" s="26" t="s">
        <v>41</v>
      </c>
      <c r="AD7" s="30" t="s">
        <v>42</v>
      </c>
      <c r="AE7" s="27"/>
      <c r="AF7" s="27"/>
      <c r="AG7" s="27"/>
      <c r="AH7" s="31" t="s">
        <v>44</v>
      </c>
      <c r="AI7" s="30" t="s">
        <v>42</v>
      </c>
      <c r="AJ7" s="27"/>
      <c r="AK7" s="38"/>
      <c r="AL7" s="38" t="s">
        <v>92</v>
      </c>
      <c r="AM7" s="27"/>
      <c r="AN7" s="27"/>
      <c r="AO7" s="27"/>
      <c r="AP7" s="27"/>
      <c r="AQ7" s="27"/>
      <c r="AR7" s="27"/>
      <c r="AS7" s="38" t="s">
        <v>92</v>
      </c>
      <c r="AT7" s="38"/>
      <c r="AU7" s="26"/>
      <c r="AV7" s="26" t="s">
        <v>41</v>
      </c>
      <c r="AW7" s="30" t="s">
        <v>42</v>
      </c>
      <c r="AX7" s="27"/>
      <c r="AY7" s="27"/>
      <c r="AZ7" s="27"/>
      <c r="BA7" s="31" t="s">
        <v>44</v>
      </c>
      <c r="BB7" s="30" t="s">
        <v>42</v>
      </c>
      <c r="BC7" s="27"/>
    </row>
    <row r="8" spans="1:55" ht="15" customHeight="1">
      <c r="A8" s="29" t="s">
        <v>95</v>
      </c>
      <c r="B8" s="28" t="s">
        <v>93</v>
      </c>
      <c r="C8" s="28" t="s">
        <v>94</v>
      </c>
      <c r="D8" s="28">
        <v>12345</v>
      </c>
      <c r="E8" s="29" t="s">
        <v>93</v>
      </c>
      <c r="F8" s="37"/>
      <c r="G8" s="37"/>
      <c r="H8" s="37"/>
      <c r="I8" s="38" t="s">
        <v>92</v>
      </c>
      <c r="J8" s="37"/>
      <c r="K8" s="37"/>
      <c r="L8" s="37"/>
      <c r="M8" s="38"/>
      <c r="N8" s="37"/>
      <c r="O8" s="38" t="s">
        <v>92</v>
      </c>
      <c r="P8" s="37"/>
      <c r="Q8" s="38"/>
      <c r="R8" s="37"/>
      <c r="S8" s="38" t="s">
        <v>92</v>
      </c>
      <c r="T8" s="37"/>
      <c r="U8" s="26" t="s">
        <v>21</v>
      </c>
      <c r="V8" s="26" t="s">
        <v>21</v>
      </c>
      <c r="W8" s="26" t="s">
        <v>21</v>
      </c>
      <c r="X8" s="26" t="s">
        <v>38</v>
      </c>
      <c r="Y8" s="26" t="s">
        <v>21</v>
      </c>
      <c r="Z8" s="26" t="s">
        <v>39</v>
      </c>
      <c r="AA8" s="26" t="s">
        <v>40</v>
      </c>
      <c r="AB8" s="26"/>
      <c r="AC8" s="26" t="s">
        <v>41</v>
      </c>
      <c r="AD8" s="30" t="s">
        <v>42</v>
      </c>
      <c r="AE8" s="27"/>
      <c r="AF8" s="27"/>
      <c r="AG8" s="27"/>
      <c r="AH8" s="31" t="s">
        <v>44</v>
      </c>
      <c r="AI8" s="30" t="s">
        <v>42</v>
      </c>
      <c r="AJ8" s="27"/>
      <c r="AK8" s="38"/>
      <c r="AL8" s="27"/>
      <c r="AM8" s="38" t="s">
        <v>92</v>
      </c>
      <c r="AN8" s="27"/>
      <c r="AO8" s="27"/>
      <c r="AP8" s="27"/>
      <c r="AQ8" s="27"/>
      <c r="AR8" s="27"/>
      <c r="AS8" s="27"/>
      <c r="AT8" s="38" t="s">
        <v>92</v>
      </c>
      <c r="AU8" s="26"/>
      <c r="AV8" s="26" t="s">
        <v>41</v>
      </c>
      <c r="AW8" s="30" t="s">
        <v>42</v>
      </c>
      <c r="AX8" s="27"/>
      <c r="AY8" s="27"/>
      <c r="AZ8" s="27"/>
      <c r="BA8" s="31" t="s">
        <v>44</v>
      </c>
      <c r="BB8" s="30" t="s">
        <v>42</v>
      </c>
      <c r="BC8" s="27"/>
    </row>
    <row r="9" spans="1:55" ht="15" customHeight="1">
      <c r="A9" s="29" t="s">
        <v>95</v>
      </c>
      <c r="B9" s="28" t="s">
        <v>93</v>
      </c>
      <c r="C9" s="28" t="s">
        <v>94</v>
      </c>
      <c r="D9" s="28">
        <v>12345</v>
      </c>
      <c r="E9" s="29" t="s">
        <v>93</v>
      </c>
      <c r="F9" s="37"/>
      <c r="G9" s="37"/>
      <c r="H9" s="37"/>
      <c r="I9" s="38" t="s">
        <v>92</v>
      </c>
      <c r="J9" s="37"/>
      <c r="K9" s="37"/>
      <c r="L9" s="37"/>
      <c r="M9" s="38"/>
      <c r="N9" s="37"/>
      <c r="O9" s="37"/>
      <c r="P9" s="38" t="s">
        <v>92</v>
      </c>
      <c r="Q9" s="38"/>
      <c r="R9" s="37"/>
      <c r="S9" s="37"/>
      <c r="T9" s="38" t="s">
        <v>92</v>
      </c>
      <c r="U9" s="26" t="s">
        <v>21</v>
      </c>
      <c r="V9" s="26" t="s">
        <v>21</v>
      </c>
      <c r="W9" s="26" t="s">
        <v>21</v>
      </c>
      <c r="X9" s="26" t="s">
        <v>38</v>
      </c>
      <c r="Y9" s="26" t="s">
        <v>21</v>
      </c>
      <c r="Z9" s="26" t="s">
        <v>39</v>
      </c>
      <c r="AA9" s="26" t="s">
        <v>40</v>
      </c>
      <c r="AB9" s="26"/>
      <c r="AC9" s="26" t="s">
        <v>41</v>
      </c>
      <c r="AD9" s="30" t="s">
        <v>42</v>
      </c>
      <c r="AE9" s="27"/>
      <c r="AF9" s="27"/>
      <c r="AG9" s="27"/>
      <c r="AH9" s="31" t="s">
        <v>44</v>
      </c>
      <c r="AI9" s="30" t="s">
        <v>42</v>
      </c>
      <c r="AJ9" s="27"/>
      <c r="AK9" s="38"/>
      <c r="AL9" s="27"/>
      <c r="AM9" s="27"/>
      <c r="AN9" s="38" t="s">
        <v>92</v>
      </c>
      <c r="AO9" s="27"/>
      <c r="AP9" s="27"/>
      <c r="AQ9" s="27"/>
      <c r="AR9" s="38" t="s">
        <v>92</v>
      </c>
      <c r="AS9" s="27"/>
      <c r="AT9" s="38"/>
      <c r="AU9" s="26"/>
      <c r="AV9" s="26" t="s">
        <v>41</v>
      </c>
      <c r="AW9" s="30" t="s">
        <v>42</v>
      </c>
      <c r="AX9" s="27"/>
      <c r="AY9" s="27"/>
      <c r="AZ9" s="27"/>
      <c r="BA9" s="31" t="s">
        <v>44</v>
      </c>
      <c r="BB9" s="30" t="s">
        <v>42</v>
      </c>
      <c r="BC9" s="27"/>
    </row>
    <row r="10" spans="1:55" ht="15" customHeight="1">
      <c r="A10" s="29" t="s">
        <v>95</v>
      </c>
      <c r="B10" s="28" t="s">
        <v>93</v>
      </c>
      <c r="C10" s="28" t="s">
        <v>94</v>
      </c>
      <c r="D10" s="28">
        <v>12345</v>
      </c>
      <c r="E10" s="29" t="s">
        <v>93</v>
      </c>
      <c r="F10" s="37"/>
      <c r="G10" s="37"/>
      <c r="H10" s="37"/>
      <c r="I10" s="38"/>
      <c r="J10" s="38" t="s">
        <v>92</v>
      </c>
      <c r="K10" s="37"/>
      <c r="L10" s="38" t="s">
        <v>92</v>
      </c>
      <c r="M10" s="38" t="s">
        <v>92</v>
      </c>
      <c r="N10" s="37"/>
      <c r="O10" s="37"/>
      <c r="P10" s="37"/>
      <c r="Q10" s="38" t="s">
        <v>92</v>
      </c>
      <c r="R10" s="37"/>
      <c r="S10" s="37"/>
      <c r="T10" s="37"/>
      <c r="U10" s="26" t="s">
        <v>21</v>
      </c>
      <c r="V10" s="26" t="s">
        <v>21</v>
      </c>
      <c r="W10" s="26" t="s">
        <v>21</v>
      </c>
      <c r="X10" s="26" t="s">
        <v>38</v>
      </c>
      <c r="Y10" s="26" t="s">
        <v>21</v>
      </c>
      <c r="Z10" s="26" t="s">
        <v>39</v>
      </c>
      <c r="AA10" s="26" t="s">
        <v>40</v>
      </c>
      <c r="AB10" s="26"/>
      <c r="AC10" s="26" t="s">
        <v>41</v>
      </c>
      <c r="AD10" s="30" t="s">
        <v>42</v>
      </c>
      <c r="AE10" s="27"/>
      <c r="AF10" s="27"/>
      <c r="AG10" s="27"/>
      <c r="AH10" s="31" t="s">
        <v>44</v>
      </c>
      <c r="AI10" s="30" t="s">
        <v>42</v>
      </c>
      <c r="AJ10" s="27"/>
      <c r="AK10" s="38"/>
      <c r="AL10" s="27"/>
      <c r="AM10" s="27"/>
      <c r="AN10" s="27"/>
      <c r="AO10" s="38" t="s">
        <v>92</v>
      </c>
      <c r="AP10" s="27"/>
      <c r="AQ10" s="27"/>
      <c r="AR10" s="27"/>
      <c r="AS10" s="38" t="s">
        <v>92</v>
      </c>
      <c r="AT10" s="38"/>
      <c r="AU10" s="26"/>
      <c r="AV10" s="26" t="s">
        <v>41</v>
      </c>
      <c r="AW10" s="30" t="s">
        <v>42</v>
      </c>
      <c r="AX10" s="27"/>
      <c r="AY10" s="27"/>
      <c r="AZ10" s="27"/>
      <c r="BA10" s="31" t="s">
        <v>44</v>
      </c>
      <c r="BB10" s="30" t="s">
        <v>42</v>
      </c>
      <c r="BC10" s="27"/>
    </row>
    <row r="11" spans="1:55" ht="15" customHeight="1">
      <c r="A11" s="29" t="s">
        <v>95</v>
      </c>
      <c r="B11" s="28" t="s">
        <v>93</v>
      </c>
      <c r="C11" s="28" t="s">
        <v>94</v>
      </c>
      <c r="D11" s="28">
        <v>12345</v>
      </c>
      <c r="E11" s="29" t="s">
        <v>93</v>
      </c>
      <c r="F11" s="37"/>
      <c r="G11" s="37"/>
      <c r="H11" s="37"/>
      <c r="I11" s="38"/>
      <c r="J11" s="38" t="s">
        <v>92</v>
      </c>
      <c r="K11" s="37"/>
      <c r="L11" s="37"/>
      <c r="M11" s="38"/>
      <c r="N11" s="38" t="s">
        <v>92</v>
      </c>
      <c r="O11" s="37"/>
      <c r="P11" s="38" t="s">
        <v>92</v>
      </c>
      <c r="Q11" s="38"/>
      <c r="R11" s="38" t="s">
        <v>92</v>
      </c>
      <c r="S11" s="37"/>
      <c r="T11" s="37"/>
      <c r="U11" s="26" t="s">
        <v>21</v>
      </c>
      <c r="V11" s="26" t="s">
        <v>21</v>
      </c>
      <c r="W11" s="26" t="s">
        <v>21</v>
      </c>
      <c r="X11" s="26" t="s">
        <v>38</v>
      </c>
      <c r="Y11" s="26" t="s">
        <v>21</v>
      </c>
      <c r="Z11" s="26" t="s">
        <v>39</v>
      </c>
      <c r="AA11" s="26" t="s">
        <v>40</v>
      </c>
      <c r="AB11" s="26"/>
      <c r="AC11" s="26" t="s">
        <v>41</v>
      </c>
      <c r="AD11" s="30" t="s">
        <v>42</v>
      </c>
      <c r="AE11" s="27"/>
      <c r="AF11" s="27"/>
      <c r="AG11" s="27"/>
      <c r="AH11" s="31" t="s">
        <v>44</v>
      </c>
      <c r="AI11" s="30" t="s">
        <v>42</v>
      </c>
      <c r="AJ11" s="27"/>
      <c r="AK11" s="38"/>
      <c r="AL11" s="27"/>
      <c r="AM11" s="27"/>
      <c r="AN11" s="27"/>
      <c r="AO11" s="27"/>
      <c r="AP11" s="38" t="s">
        <v>92</v>
      </c>
      <c r="AQ11" s="27"/>
      <c r="AR11" s="27"/>
      <c r="AS11" s="27"/>
      <c r="AT11" s="38" t="s">
        <v>92</v>
      </c>
      <c r="AU11" s="26"/>
      <c r="AV11" s="26" t="s">
        <v>41</v>
      </c>
      <c r="AW11" s="30" t="s">
        <v>42</v>
      </c>
      <c r="AX11" s="27"/>
      <c r="AY11" s="27"/>
      <c r="AZ11" s="27"/>
      <c r="BA11" s="31" t="s">
        <v>44</v>
      </c>
      <c r="BB11" s="30" t="s">
        <v>42</v>
      </c>
      <c r="BC11" s="27"/>
    </row>
    <row r="12" spans="1:55" ht="15" customHeight="1">
      <c r="A12" s="29" t="s">
        <v>95</v>
      </c>
      <c r="B12" s="28" t="s">
        <v>93</v>
      </c>
      <c r="C12" s="28" t="s">
        <v>94</v>
      </c>
      <c r="D12" s="28">
        <v>12345</v>
      </c>
      <c r="E12" s="29" t="s">
        <v>93</v>
      </c>
      <c r="F12" s="37"/>
      <c r="G12" s="37"/>
      <c r="H12" s="37"/>
      <c r="I12" s="38"/>
      <c r="J12" s="37"/>
      <c r="K12" s="38" t="s">
        <v>92</v>
      </c>
      <c r="L12" s="38" t="s">
        <v>92</v>
      </c>
      <c r="M12" s="38"/>
      <c r="N12" s="37"/>
      <c r="O12" s="38" t="s">
        <v>92</v>
      </c>
      <c r="P12" s="37"/>
      <c r="Q12" s="38"/>
      <c r="R12" s="37"/>
      <c r="S12" s="38" t="s">
        <v>92</v>
      </c>
      <c r="T12" s="37"/>
      <c r="U12" s="26" t="s">
        <v>21</v>
      </c>
      <c r="V12" s="26" t="s">
        <v>21</v>
      </c>
      <c r="W12" s="26" t="s">
        <v>21</v>
      </c>
      <c r="X12" s="26" t="s">
        <v>38</v>
      </c>
      <c r="Y12" s="26" t="s">
        <v>21</v>
      </c>
      <c r="Z12" s="26" t="s">
        <v>39</v>
      </c>
      <c r="AA12" s="26" t="s">
        <v>40</v>
      </c>
      <c r="AB12" s="26"/>
      <c r="AC12" s="26" t="s">
        <v>41</v>
      </c>
      <c r="AD12" s="30" t="s">
        <v>42</v>
      </c>
      <c r="AE12" s="27"/>
      <c r="AF12" s="27"/>
      <c r="AG12" s="27"/>
      <c r="AH12" s="31" t="s">
        <v>44</v>
      </c>
      <c r="AI12" s="30" t="s">
        <v>42</v>
      </c>
      <c r="AJ12" s="27"/>
      <c r="AK12" s="38"/>
      <c r="AL12" s="27"/>
      <c r="AM12" s="27"/>
      <c r="AN12" s="27"/>
      <c r="AO12" s="27"/>
      <c r="AP12" s="27"/>
      <c r="AQ12" s="38" t="s">
        <v>92</v>
      </c>
      <c r="AR12" s="38" t="s">
        <v>92</v>
      </c>
      <c r="AS12" s="27"/>
      <c r="AT12" s="38"/>
      <c r="AU12" s="26"/>
      <c r="AV12" s="26" t="s">
        <v>41</v>
      </c>
      <c r="AW12" s="30" t="s">
        <v>42</v>
      </c>
      <c r="AX12" s="27"/>
      <c r="AY12" s="27"/>
      <c r="AZ12" s="27"/>
      <c r="BA12" s="31" t="s">
        <v>44</v>
      </c>
      <c r="BB12" s="30" t="s">
        <v>42</v>
      </c>
      <c r="BC12" s="27"/>
    </row>
    <row r="13" spans="1:55" ht="15" customHeight="1">
      <c r="A13" s="29" t="s">
        <v>95</v>
      </c>
      <c r="B13" s="28" t="s">
        <v>93</v>
      </c>
      <c r="C13" s="28" t="s">
        <v>94</v>
      </c>
      <c r="D13" s="28">
        <v>12345</v>
      </c>
      <c r="E13" s="29" t="s">
        <v>93</v>
      </c>
      <c r="F13" s="37"/>
      <c r="G13" s="37"/>
      <c r="H13" s="37"/>
      <c r="I13" s="38"/>
      <c r="J13" s="37"/>
      <c r="K13" s="38" t="s">
        <v>92</v>
      </c>
      <c r="L13" s="37"/>
      <c r="M13" s="38"/>
      <c r="N13" s="37"/>
      <c r="O13" s="37"/>
      <c r="P13" s="37"/>
      <c r="Q13" s="38"/>
      <c r="R13" s="37"/>
      <c r="S13" s="37"/>
      <c r="T13" s="38" t="s">
        <v>92</v>
      </c>
      <c r="U13" s="26" t="s">
        <v>21</v>
      </c>
      <c r="V13" s="26" t="s">
        <v>21</v>
      </c>
      <c r="W13" s="26" t="s">
        <v>21</v>
      </c>
      <c r="X13" s="26" t="s">
        <v>38</v>
      </c>
      <c r="Y13" s="26" t="s">
        <v>21</v>
      </c>
      <c r="Z13" s="26" t="s">
        <v>39</v>
      </c>
      <c r="AA13" s="26" t="s">
        <v>40</v>
      </c>
      <c r="AB13" s="26"/>
      <c r="AC13" s="26" t="s">
        <v>41</v>
      </c>
      <c r="AD13" s="30" t="s">
        <v>42</v>
      </c>
      <c r="AE13" s="27"/>
      <c r="AF13" s="27"/>
      <c r="AG13" s="27"/>
      <c r="AH13" s="31" t="s">
        <v>44</v>
      </c>
      <c r="AI13" s="30" t="s">
        <v>42</v>
      </c>
      <c r="AJ13" s="27"/>
      <c r="AK13" s="38"/>
      <c r="AL13" s="27"/>
      <c r="AM13" s="27"/>
      <c r="AN13" s="27"/>
      <c r="AO13" s="27"/>
      <c r="AP13" s="27"/>
      <c r="AQ13" s="27"/>
      <c r="AR13" s="27"/>
      <c r="AS13" s="38" t="s">
        <v>92</v>
      </c>
      <c r="AT13" s="38"/>
      <c r="AU13" s="26"/>
      <c r="AV13" s="26" t="s">
        <v>41</v>
      </c>
      <c r="AW13" s="30" t="s">
        <v>42</v>
      </c>
      <c r="AX13" s="27"/>
      <c r="AY13" s="27"/>
      <c r="AZ13" s="27"/>
      <c r="BA13" s="31" t="s">
        <v>44</v>
      </c>
      <c r="BB13" s="30" t="s">
        <v>42</v>
      </c>
      <c r="BC13" s="27"/>
    </row>
    <row r="14" spans="1:55" ht="15" customHeight="1">
      <c r="A14" s="29" t="s">
        <v>95</v>
      </c>
      <c r="B14" s="28" t="s">
        <v>93</v>
      </c>
      <c r="C14" s="28" t="s">
        <v>94</v>
      </c>
      <c r="D14" s="28">
        <v>12345</v>
      </c>
      <c r="E14" s="29" t="s">
        <v>93</v>
      </c>
      <c r="F14" s="37"/>
      <c r="G14" s="37"/>
      <c r="H14" s="37"/>
      <c r="I14" s="38"/>
      <c r="J14" s="37"/>
      <c r="K14" s="38" t="s">
        <v>92</v>
      </c>
      <c r="L14" s="37"/>
      <c r="M14" s="38"/>
      <c r="N14" s="37"/>
      <c r="O14" s="37"/>
      <c r="P14" s="37"/>
      <c r="Q14" s="38" t="s">
        <v>92</v>
      </c>
      <c r="R14" s="37"/>
      <c r="S14" s="37"/>
      <c r="T14" s="37"/>
      <c r="U14" s="26" t="s">
        <v>21</v>
      </c>
      <c r="V14" s="26" t="s">
        <v>21</v>
      </c>
      <c r="W14" s="26" t="s">
        <v>21</v>
      </c>
      <c r="X14" s="26" t="s">
        <v>38</v>
      </c>
      <c r="Y14" s="26" t="s">
        <v>21</v>
      </c>
      <c r="Z14" s="26" t="s">
        <v>39</v>
      </c>
      <c r="AA14" s="26" t="s">
        <v>40</v>
      </c>
      <c r="AB14" s="26"/>
      <c r="AC14" s="26" t="s">
        <v>41</v>
      </c>
      <c r="AD14" s="30" t="s">
        <v>42</v>
      </c>
      <c r="AE14" s="27"/>
      <c r="AF14" s="27"/>
      <c r="AG14" s="27"/>
      <c r="AH14" s="31" t="s">
        <v>44</v>
      </c>
      <c r="AI14" s="30" t="s">
        <v>42</v>
      </c>
      <c r="AJ14" s="27"/>
      <c r="AK14" s="38" t="s">
        <v>92</v>
      </c>
      <c r="AL14" s="27"/>
      <c r="AM14" s="27"/>
      <c r="AN14" s="27"/>
      <c r="AO14" s="27"/>
      <c r="AP14" s="27"/>
      <c r="AQ14" s="27"/>
      <c r="AR14" s="27"/>
      <c r="AS14" s="27"/>
      <c r="AT14" s="38" t="s">
        <v>92</v>
      </c>
      <c r="AU14" s="26"/>
      <c r="AV14" s="26" t="s">
        <v>41</v>
      </c>
      <c r="AW14" s="30" t="s">
        <v>42</v>
      </c>
      <c r="AX14" s="27"/>
      <c r="AY14" s="27"/>
      <c r="AZ14" s="27"/>
      <c r="BA14" s="31" t="s">
        <v>44</v>
      </c>
      <c r="BB14" s="30" t="s">
        <v>42</v>
      </c>
      <c r="BC14" s="27"/>
    </row>
  </sheetData>
  <mergeCells count="31">
    <mergeCell ref="AY3:BC4"/>
    <mergeCell ref="X3:Y4"/>
    <mergeCell ref="Z3:AA4"/>
    <mergeCell ref="AB3:AE4"/>
    <mergeCell ref="AF3:AJ4"/>
    <mergeCell ref="AU3:AX4"/>
    <mergeCell ref="AM4:AO4"/>
    <mergeCell ref="AP4:AQ4"/>
    <mergeCell ref="AK3:AQ3"/>
    <mergeCell ref="AR3:AT3"/>
    <mergeCell ref="AR4:AR5"/>
    <mergeCell ref="AS4:AS5"/>
    <mergeCell ref="AT4:AT5"/>
    <mergeCell ref="AK4:AK5"/>
    <mergeCell ref="AL4:AL5"/>
    <mergeCell ref="U3:W4"/>
    <mergeCell ref="A3:A5"/>
    <mergeCell ref="B3:D3"/>
    <mergeCell ref="E3:H3"/>
    <mergeCell ref="P4:P5"/>
    <mergeCell ref="M3:P3"/>
    <mergeCell ref="Q3:T3"/>
    <mergeCell ref="Q4:Q5"/>
    <mergeCell ref="R4:R5"/>
    <mergeCell ref="S4:S5"/>
    <mergeCell ref="T4:T5"/>
    <mergeCell ref="I3:K3"/>
    <mergeCell ref="J4:K4"/>
    <mergeCell ref="I4:I5"/>
    <mergeCell ref="L4:L5"/>
    <mergeCell ref="M4:O4"/>
  </mergeCells>
  <phoneticPr fontId="3" type="noConversion"/>
  <dataValidations count="2">
    <dataValidation type="list" allowBlank="1" showInputMessage="1" showErrorMessage="1" sqref="AH6:AH14 BA6:BA14" xr:uid="{21847EF6-9D98-4B00-ADEC-E039DE0387E0}">
      <formula1>"Y,N,N/A"</formula1>
    </dataValidation>
    <dataValidation type="list" allowBlank="1" showInputMessage="1" showErrorMessage="1" sqref="U6:AA14" xr:uid="{9481590E-4E9F-4EB6-80ED-96E006F6E4A1}">
      <formula1>"Pass,Fail,N/A,Block"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9</vt:i4>
      </vt:variant>
    </vt:vector>
  </HeadingPairs>
  <TitlesOfParts>
    <vt:vector size="20" baseType="lpstr">
      <vt:lpstr>표지</vt:lpstr>
      <vt:lpstr>개정이력</vt:lpstr>
      <vt:lpstr>헤더</vt:lpstr>
      <vt:lpstr>결과</vt:lpstr>
      <vt:lpstr>0_목록</vt:lpstr>
      <vt:lpstr>1_FAQ</vt:lpstr>
      <vt:lpstr>2_공지사항</vt:lpstr>
      <vt:lpstr>3_매장찾기</vt:lpstr>
      <vt:lpstr>4_1대1상담</vt:lpstr>
      <vt:lpstr>5_고객의소리</vt:lpstr>
      <vt:lpstr>주문_클레임</vt:lpstr>
      <vt:lpstr>'1_FAQ'!Print_Area</vt:lpstr>
      <vt:lpstr>'2_공지사항'!Print_Area</vt:lpstr>
      <vt:lpstr>'3_매장찾기'!Print_Area</vt:lpstr>
      <vt:lpstr>'4_1대1상담'!Print_Area</vt:lpstr>
      <vt:lpstr>'5_고객의소리'!Print_Area</vt:lpstr>
      <vt:lpstr>개정이력!Print_Area</vt:lpstr>
      <vt:lpstr>결과!Print_Area</vt:lpstr>
      <vt:lpstr>주문_클레임!Print_Area</vt:lpstr>
      <vt:lpstr>표지!Print_Area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업무기능구조도</dc:title>
  <dc:creator>jspark81@3top.co.kr</dc:creator>
  <cp:lastModifiedBy>Administrator</cp:lastModifiedBy>
  <cp:lastPrinted>2018-07-31T05:01:40Z</cp:lastPrinted>
  <dcterms:created xsi:type="dcterms:W3CDTF">2005-07-28T05:32:49Z</dcterms:created>
  <dcterms:modified xsi:type="dcterms:W3CDTF">2019-05-17T10:11:08Z</dcterms:modified>
</cp:coreProperties>
</file>