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5.xml" ContentType="application/vnd.openxmlformats-officedocument.spreadsheetml.table+xml"/>
  <Override PartName="/xl/drawings/drawing9.xml" ContentType="application/vnd.openxmlformats-officedocument.drawing+xml"/>
  <Override PartName="/xl/tables/table6.xml" ContentType="application/vnd.openxmlformats-officedocument.spreadsheetml.tab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BC Mart\06. 테스트\02. 통합테스트 시나리오 및 결과서\"/>
    </mc:Choice>
  </mc:AlternateContent>
  <xr:revisionPtr revIDLastSave="0" documentId="13_ncr:1_{FA4CEB74-50E1-4E2B-A8F8-E7A3164E0247}" xr6:coauthVersionLast="43" xr6:coauthVersionMax="43" xr10:uidLastSave="{00000000-0000-0000-0000-000000000000}"/>
  <bookViews>
    <workbookView xWindow="-120" yWindow="-120" windowWidth="29040" windowHeight="15840" tabRatio="808" xr2:uid="{00000000-000D-0000-FFFF-FFFF00000000}"/>
  </bookViews>
  <sheets>
    <sheet name="표지" sheetId="1" r:id="rId1"/>
    <sheet name="개정이력" sheetId="11" r:id="rId2"/>
    <sheet name="헤더" sheetId="20" state="hidden" r:id="rId3"/>
    <sheet name="결과" sheetId="25" r:id="rId4"/>
    <sheet name="1-1_주문 클레임 목록" sheetId="40" r:id="rId5"/>
    <sheet name="1-2_주문 클레임" sheetId="41" r:id="rId6"/>
    <sheet name="2-1_AS 목록" sheetId="46" r:id="rId7"/>
    <sheet name="2-2_AS" sheetId="45" r:id="rId8"/>
    <sheet name="회원Data" sheetId="28" r:id="rId9"/>
    <sheet name="입점사Data" sheetId="44" r:id="rId10"/>
    <sheet name="상품Data" sheetId="35" r:id="rId11"/>
    <sheet name="프로모션Data" sheetId="36" r:id="rId12"/>
    <sheet name="쿠폰Data" sheetId="42" r:id="rId13"/>
    <sheet name="관리자Data" sheetId="37" r:id="rId14"/>
  </sheets>
  <externalReferences>
    <externalReference r:id="rId15"/>
  </externalReferences>
  <definedNames>
    <definedName name="_xlnm._FilterDatabase" localSheetId="4" hidden="1">'1-1_주문 클레임 목록'!$A$7:$BB$28</definedName>
    <definedName name="_xlnm._FilterDatabase" localSheetId="5" hidden="1">'1-2_주문 클레임'!$A$8:$BW$45</definedName>
    <definedName name="_xlnm._FilterDatabase" localSheetId="3" hidden="1">결과!#REF!</definedName>
    <definedName name="_xlnm._FilterDatabase" localSheetId="13" hidden="1">관리자Data!#REF!</definedName>
    <definedName name="_xlnm._FilterDatabase" localSheetId="10" hidden="1">상품Data!$A$4:$AC$38</definedName>
    <definedName name="_xlnm._FilterDatabase" localSheetId="9" hidden="1">입점사Data!#REF!</definedName>
    <definedName name="_xlnm._FilterDatabase" localSheetId="12" hidden="1">쿠폰Data!$B$4:$R$24</definedName>
    <definedName name="_xlnm._FilterDatabase" localSheetId="11" hidden="1">프로모션Data!#REF!</definedName>
    <definedName name="_xlnm._FilterDatabase" localSheetId="8" hidden="1">회원Data!#REF!</definedName>
    <definedName name="CASE">[1]코드!$K$35:$K$41</definedName>
    <definedName name="DBMS">[1]코드!$G$35:$G$49</definedName>
    <definedName name="EndUser">[1]코드!$D$35:$D$39</definedName>
    <definedName name="HW">[1]코드!$I$35:$I$59</definedName>
    <definedName name="Language">[1]코드!$J$35:$J$61</definedName>
    <definedName name="LType">[1]코드!$M$35:$M$37</definedName>
    <definedName name="MW">[1]코드!$H$35:$H$49</definedName>
    <definedName name="OS">[1]코드!$F$35:$F$42</definedName>
    <definedName name="Platform">[1]코드!$L$35:$L$37</definedName>
    <definedName name="_xlnm.Print_Area" localSheetId="5">'1-2_주문 클레임'!$B$1:$B$2</definedName>
    <definedName name="_xlnm.Print_Area" localSheetId="1">개정이력!$A$1:$G$28</definedName>
    <definedName name="_xlnm.Print_Area" localSheetId="0">표지!$A$1:$J$29</definedName>
    <definedName name="개발형태">[1]코드!$C$2:$C$7</definedName>
    <definedName name="계약방식">[1]코드!$A$2:$A$10</definedName>
    <definedName name="계약형태">[1]코드!$H$2:$H$4</definedName>
    <definedName name="낙찰구분">[1]코드!$B$2:$B$5</definedName>
    <definedName name="방법론">[1]코드!$E$35:$E$51</definedName>
    <definedName name="사업부">[1]코드!$J$2:$J$7</definedName>
    <definedName name="서비스영역">[1]코드!$K$2:$K$13</definedName>
    <definedName name="업종">[1]코드!$D$2:$D$9</definedName>
    <definedName name="업종상세">[1]코드!$E$2:$E$32</definedName>
    <definedName name="적용사이트">[1]코드!$C$35:$C$38</definedName>
    <definedName name="전략프로젝트">[1]코드!$G$2:$G$3</definedName>
    <definedName name="표1" localSheetId="4">#REF!</definedName>
    <definedName name="표1" localSheetId="5">#REF!</definedName>
    <definedName name="표1" localSheetId="9">#REF!</definedName>
    <definedName name="표1" localSheetId="12">#REF!</definedName>
    <definedName name="표1">#REF!</definedName>
    <definedName name="표2" localSheetId="4">#REF!</definedName>
    <definedName name="표2" localSheetId="5">#REF!</definedName>
    <definedName name="표2" localSheetId="9">#REF!</definedName>
    <definedName name="표2" localSheetId="12">#REF!</definedName>
    <definedName name="표2">#REF!</definedName>
    <definedName name="프로덕트유형">[1]코드!$B$35:$B$39</definedName>
    <definedName name="프로덕트타입">[1]코드!$A$35:$A$49</definedName>
    <definedName name="프로젝트단계">[1]코드!$F$2:$F$7</definedName>
  </definedNames>
  <calcPr calcId="191029" iterate="1"/>
  <customWorkbookViews>
    <customWorkbookView name="leeroy - 사용자 보기" guid="{A6CC21FE-7CAA-4904-A5F5-A181631EC1E8}" mergeInterval="0" personalView="1" maximized="1" xWindow="-9" yWindow="-9" windowWidth="1938" windowHeight="1050" activeSheetId="11"/>
    <customWorkbookView name="Martin - 사용자 보기" guid="{B85FF36A-E497-4344-8837-3F9CCFCDB95A}" mergeInterval="0" personalView="1" maximized="1" xWindow="-9" yWindow="-9" windowWidth="1938" windowHeight="1050" activeSheetId="10"/>
    <customWorkbookView name="sjhan - 사용자 보기" guid="{999532EC-1560-4A19-98E1-7A21A92EFAC8}" mergeInterval="0" personalView="1" maximized="1" xWindow="1592" yWindow="-8" windowWidth="1936" windowHeight="1056" activeSheetId="9"/>
    <customWorkbookView name="Registered User - 사용자 보기" guid="{7BC7DFEF-B243-4AEA-BD24-C08A31FC1961}" mergeInterval="0" personalView="1" maximized="1" windowWidth="1600" windowHeight="630" activeSheetId="16"/>
    <customWorkbookView name="Stanley - 사용자 보기" guid="{9E41C106-8555-4D00-9C60-0A4D2648D9CB}" mergeInterval="0" personalView="1" maximized="1" xWindow="1" yWindow="1" windowWidth="1600" windowHeight="662" tabRatio="808" activeSheetId="4"/>
    <customWorkbookView name="April - 사용자 보기" guid="{6B4CEAB6-6476-40EF-9561-4F8D85AFD37C}" mergeInterval="0" personalView="1" maximized="1" xWindow="1" yWindow="1" windowWidth="1362" windowHeight="540" tabRatio="808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20" i="41" l="1"/>
  <c r="AS43" i="41"/>
  <c r="AS42" i="41"/>
  <c r="AS40" i="41"/>
  <c r="AS39" i="41"/>
  <c r="AS38" i="41"/>
  <c r="AS36" i="41"/>
  <c r="AS34" i="41"/>
  <c r="AS33" i="41"/>
  <c r="AS32" i="41"/>
  <c r="AS29" i="41"/>
  <c r="AS27" i="41"/>
  <c r="AS25" i="41"/>
  <c r="AS24" i="41"/>
  <c r="AS22" i="41"/>
  <c r="AS18" i="41"/>
  <c r="AS16" i="41"/>
  <c r="AS14" i="41"/>
  <c r="AS13" i="41"/>
  <c r="AS11" i="41"/>
  <c r="AS9" i="41"/>
  <c r="W40" i="41"/>
  <c r="AG40" i="41" s="1"/>
  <c r="W29" i="41"/>
  <c r="AG29" i="41" s="1"/>
  <c r="W25" i="41"/>
  <c r="AG25" i="41" s="1"/>
  <c r="W24" i="41"/>
  <c r="AG24" i="41" s="1"/>
  <c r="W23" i="41"/>
  <c r="AG23" i="41" s="1"/>
  <c r="W22" i="41"/>
  <c r="AG22" i="41" s="1"/>
  <c r="W19" i="41"/>
  <c r="W14" i="41"/>
  <c r="W13" i="41"/>
  <c r="AG13" i="41" s="1"/>
  <c r="W9" i="41"/>
  <c r="AG45" i="41"/>
  <c r="AG43" i="41"/>
  <c r="AG42" i="41"/>
  <c r="AG41" i="41"/>
  <c r="AG39" i="41"/>
  <c r="AG38" i="41"/>
  <c r="AG36" i="41"/>
  <c r="AG35" i="41"/>
  <c r="AG34" i="41"/>
  <c r="AG33" i="41"/>
  <c r="AG32" i="41"/>
  <c r="AG30" i="41"/>
  <c r="AG28" i="41"/>
  <c r="AG27" i="41"/>
  <c r="AG26" i="41"/>
  <c r="AG21" i="41"/>
  <c r="AG20" i="41"/>
  <c r="AG19" i="41"/>
  <c r="AG18" i="41"/>
  <c r="AG17" i="41"/>
  <c r="AG16" i="41"/>
  <c r="AG15" i="41"/>
  <c r="AG12" i="41"/>
  <c r="AG11" i="41"/>
  <c r="AG10" i="41"/>
  <c r="Y29" i="41" l="1"/>
  <c r="Z29" i="41"/>
  <c r="AA29" i="41"/>
  <c r="AB29" i="41"/>
  <c r="AC29" i="41"/>
  <c r="Y27" i="41"/>
  <c r="Z27" i="41"/>
  <c r="AA27" i="41"/>
  <c r="AB27" i="41"/>
  <c r="AC27" i="41"/>
  <c r="Y32" i="41"/>
  <c r="Z32" i="41"/>
  <c r="AA32" i="41"/>
  <c r="AB32" i="41"/>
  <c r="AC32" i="41"/>
  <c r="S40" i="41"/>
  <c r="T40" i="41"/>
  <c r="U40" i="41"/>
  <c r="S22" i="41"/>
  <c r="T22" i="41"/>
  <c r="U22" i="41"/>
  <c r="S24" i="41"/>
  <c r="T24" i="41"/>
  <c r="U24" i="41"/>
  <c r="S23" i="41"/>
  <c r="T23" i="41"/>
  <c r="U23" i="41"/>
  <c r="Y45" i="41"/>
  <c r="Z45" i="41"/>
  <c r="AA45" i="41"/>
  <c r="AB45" i="41"/>
  <c r="AC45" i="41"/>
  <c r="Y44" i="41"/>
  <c r="Z44" i="41"/>
  <c r="AA44" i="41"/>
  <c r="AB44" i="41"/>
  <c r="AC44" i="41"/>
  <c r="Y43" i="41"/>
  <c r="Z43" i="41"/>
  <c r="AA43" i="41"/>
  <c r="AB43" i="41"/>
  <c r="AC43" i="41"/>
  <c r="Y42" i="41"/>
  <c r="Z42" i="41"/>
  <c r="AA42" i="41"/>
  <c r="AB42" i="41"/>
  <c r="AC42" i="41"/>
  <c r="Y38" i="41"/>
  <c r="Z38" i="41"/>
  <c r="AA38" i="41"/>
  <c r="AB38" i="41"/>
  <c r="AC38" i="41"/>
  <c r="Y37" i="41"/>
  <c r="Z37" i="41"/>
  <c r="AA37" i="41"/>
  <c r="AB37" i="41"/>
  <c r="AC37" i="41"/>
  <c r="Y36" i="41"/>
  <c r="Z36" i="41"/>
  <c r="AA36" i="41"/>
  <c r="AB36" i="41"/>
  <c r="AC36" i="41"/>
  <c r="Y31" i="41"/>
  <c r="Z31" i="41"/>
  <c r="AA31" i="41"/>
  <c r="AB31" i="41"/>
  <c r="AC31" i="41"/>
  <c r="Y30" i="41"/>
  <c r="Z30" i="41"/>
  <c r="AA30" i="41"/>
  <c r="AB30" i="41"/>
  <c r="AC30" i="41"/>
  <c r="Y25" i="41"/>
  <c r="Z25" i="41"/>
  <c r="AA25" i="41"/>
  <c r="AB25" i="41"/>
  <c r="AC25" i="41"/>
  <c r="Y18" i="41"/>
  <c r="Z18" i="41"/>
  <c r="AA18" i="41"/>
  <c r="AB18" i="41"/>
  <c r="AC18" i="41"/>
  <c r="Y16" i="41"/>
  <c r="Z16" i="41"/>
  <c r="AA16" i="41"/>
  <c r="AB16" i="41"/>
  <c r="AC16" i="41"/>
  <c r="Y15" i="41"/>
  <c r="Z15" i="41"/>
  <c r="AA15" i="41"/>
  <c r="AB15" i="41"/>
  <c r="AC15" i="41"/>
  <c r="Y14" i="41"/>
  <c r="Z14" i="41"/>
  <c r="AA14" i="41"/>
  <c r="AB14" i="41"/>
  <c r="AC14" i="41"/>
  <c r="S43" i="41"/>
  <c r="T43" i="41"/>
  <c r="U43" i="41"/>
  <c r="S38" i="41"/>
  <c r="T38" i="41"/>
  <c r="U38" i="41"/>
  <c r="S33" i="41"/>
  <c r="T33" i="41"/>
  <c r="U33" i="41"/>
  <c r="S29" i="41"/>
  <c r="T29" i="41"/>
  <c r="U29" i="41"/>
  <c r="S27" i="41"/>
  <c r="T27" i="41"/>
  <c r="U27" i="41"/>
  <c r="S25" i="41"/>
  <c r="T25" i="41"/>
  <c r="U25" i="41"/>
  <c r="S19" i="41"/>
  <c r="T19" i="41"/>
  <c r="U19" i="41"/>
  <c r="S17" i="41"/>
  <c r="T17" i="41"/>
  <c r="U17" i="41"/>
  <c r="S14" i="41"/>
  <c r="T14" i="41"/>
  <c r="U14" i="41"/>
  <c r="S13" i="41"/>
  <c r="T13" i="41"/>
  <c r="U13" i="41"/>
  <c r="S9" i="41"/>
  <c r="T9" i="41"/>
  <c r="U9" i="41"/>
  <c r="O45" i="41"/>
  <c r="Q45" i="41" s="1"/>
  <c r="AE45" i="41" s="1"/>
  <c r="O38" i="41"/>
  <c r="Q38" i="41" s="1"/>
  <c r="AE38" i="41" s="1"/>
  <c r="O39" i="41"/>
  <c r="Q39" i="41" s="1"/>
  <c r="W39" i="41" s="1"/>
  <c r="O40" i="41"/>
  <c r="Q40" i="41" s="1"/>
  <c r="O41" i="41"/>
  <c r="Q41" i="41" s="1"/>
  <c r="W41" i="41" s="1"/>
  <c r="O42" i="41"/>
  <c r="Q42" i="41" s="1"/>
  <c r="O43" i="41"/>
  <c r="Q43" i="41" s="1"/>
  <c r="O32" i="41"/>
  <c r="Q32" i="41" s="1"/>
  <c r="O33" i="41"/>
  <c r="Q33" i="41" s="1"/>
  <c r="O34" i="41"/>
  <c r="Q34" i="41" s="1"/>
  <c r="O35" i="41"/>
  <c r="Q35" i="41" s="1"/>
  <c r="O36" i="41"/>
  <c r="Q36" i="41" s="1"/>
  <c r="AE36" i="41" s="1"/>
  <c r="O28" i="41"/>
  <c r="Q28" i="41" s="1"/>
  <c r="O29" i="41"/>
  <c r="Q29" i="41" s="1"/>
  <c r="O30" i="41"/>
  <c r="Q30" i="41" s="1"/>
  <c r="O9" i="41"/>
  <c r="Q9" i="41" s="1"/>
  <c r="X9" i="41" s="1"/>
  <c r="O10" i="41"/>
  <c r="Q10" i="41" s="1"/>
  <c r="O11" i="41"/>
  <c r="Q11" i="41" s="1"/>
  <c r="O12" i="41"/>
  <c r="Q12" i="41" s="1"/>
  <c r="O13" i="41"/>
  <c r="Q13" i="41" s="1"/>
  <c r="O14" i="41"/>
  <c r="Q14" i="41" s="1"/>
  <c r="AE14" i="41" s="1"/>
  <c r="AG14" i="41" s="1"/>
  <c r="O15" i="41"/>
  <c r="Q15" i="41" s="1"/>
  <c r="AE15" i="41" s="1"/>
  <c r="O16" i="41"/>
  <c r="Q16" i="41" s="1"/>
  <c r="AE16" i="41" s="1"/>
  <c r="O17" i="41"/>
  <c r="Q17" i="41" s="1"/>
  <c r="O18" i="41"/>
  <c r="Q18" i="41" s="1"/>
  <c r="AE18" i="41" s="1"/>
  <c r="O19" i="41"/>
  <c r="Q19" i="41" s="1"/>
  <c r="O20" i="41"/>
  <c r="Q20" i="41" s="1"/>
  <c r="W20" i="41" s="1"/>
  <c r="O21" i="41"/>
  <c r="Q21" i="41" s="1"/>
  <c r="O22" i="41"/>
  <c r="Q22" i="41" s="1"/>
  <c r="O23" i="41"/>
  <c r="Q23" i="41" s="1"/>
  <c r="O24" i="41"/>
  <c r="Q24" i="41" s="1"/>
  <c r="O25" i="41"/>
  <c r="Q25" i="41" s="1"/>
  <c r="O26" i="41"/>
  <c r="Q26" i="41" s="1"/>
  <c r="O27" i="41"/>
  <c r="Q27" i="41" s="1"/>
  <c r="N45" i="41"/>
  <c r="N38" i="41"/>
  <c r="N39" i="41"/>
  <c r="N40" i="41"/>
  <c r="N41" i="41"/>
  <c r="N42" i="41"/>
  <c r="N43" i="41"/>
  <c r="N32" i="41"/>
  <c r="N33" i="41"/>
  <c r="N34" i="41"/>
  <c r="N35" i="41"/>
  <c r="N36" i="41"/>
  <c r="N9" i="41"/>
  <c r="N10" i="41"/>
  <c r="N11" i="41"/>
  <c r="N12" i="41"/>
  <c r="N13" i="41"/>
  <c r="N14" i="41"/>
  <c r="N15" i="41"/>
  <c r="N16" i="41"/>
  <c r="N17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AF9" i="41"/>
  <c r="Y38" i="35"/>
  <c r="Y37" i="35"/>
  <c r="Y36" i="35"/>
  <c r="Y35" i="35"/>
  <c r="Y34" i="35"/>
  <c r="Y33" i="35"/>
  <c r="Y32" i="35"/>
  <c r="Y31" i="35"/>
  <c r="Y30" i="35"/>
  <c r="Y29" i="35"/>
  <c r="Y28" i="35"/>
  <c r="Y27" i="35"/>
  <c r="Y26" i="35"/>
  <c r="Y25" i="35"/>
  <c r="Y24" i="35"/>
  <c r="Y23" i="35"/>
  <c r="Y22" i="35"/>
  <c r="Y21" i="35"/>
  <c r="Y20" i="35"/>
  <c r="Y19" i="35"/>
  <c r="Y18" i="35"/>
  <c r="Y17" i="35"/>
  <c r="Y16" i="35"/>
  <c r="Y15" i="35"/>
  <c r="Y14" i="35"/>
  <c r="Y13" i="35"/>
  <c r="Y12" i="35"/>
  <c r="Y11" i="35"/>
  <c r="Y10" i="35"/>
  <c r="Y9" i="35"/>
  <c r="Y8" i="35"/>
  <c r="Y7" i="35"/>
  <c r="Y6" i="35"/>
  <c r="Y5" i="35"/>
  <c r="U38" i="35"/>
  <c r="Z38" i="35" s="1"/>
  <c r="U37" i="35"/>
  <c r="Z37" i="35" s="1"/>
  <c r="U36" i="35"/>
  <c r="Z36" i="35" s="1"/>
  <c r="U35" i="35"/>
  <c r="Z35" i="35" s="1"/>
  <c r="U34" i="35"/>
  <c r="Z34" i="35" s="1"/>
  <c r="U33" i="35"/>
  <c r="Z33" i="35" s="1"/>
  <c r="U32" i="35"/>
  <c r="Z32" i="35" s="1"/>
  <c r="U31" i="35"/>
  <c r="Z31" i="35" s="1"/>
  <c r="U30" i="35"/>
  <c r="Z30" i="35" s="1"/>
  <c r="U29" i="35"/>
  <c r="Z29" i="35" s="1"/>
  <c r="U28" i="35"/>
  <c r="Z28" i="35" s="1"/>
  <c r="U27" i="35"/>
  <c r="Z27" i="35" s="1"/>
  <c r="U26" i="35"/>
  <c r="Z26" i="35" s="1"/>
  <c r="U25" i="35"/>
  <c r="Z25" i="35" s="1"/>
  <c r="U24" i="35"/>
  <c r="Z24" i="35" s="1"/>
  <c r="U23" i="35"/>
  <c r="Z23" i="35" s="1"/>
  <c r="U22" i="35"/>
  <c r="Z22" i="35" s="1"/>
  <c r="U21" i="35"/>
  <c r="Z21" i="35" s="1"/>
  <c r="U20" i="35"/>
  <c r="Z20" i="35" s="1"/>
  <c r="U19" i="35"/>
  <c r="Z19" i="35" s="1"/>
  <c r="U18" i="35"/>
  <c r="Z18" i="35" s="1"/>
  <c r="U17" i="35"/>
  <c r="Z17" i="35" s="1"/>
  <c r="U16" i="35"/>
  <c r="Z16" i="35" s="1"/>
  <c r="U15" i="35"/>
  <c r="Z15" i="35" s="1"/>
  <c r="U14" i="35"/>
  <c r="Z14" i="35" s="1"/>
  <c r="U13" i="35"/>
  <c r="Z13" i="35" s="1"/>
  <c r="U12" i="35"/>
  <c r="Z12" i="35" s="1"/>
  <c r="U11" i="35"/>
  <c r="Z11" i="35" s="1"/>
  <c r="U10" i="35"/>
  <c r="Z10" i="35" s="1"/>
  <c r="U9" i="35"/>
  <c r="Z9" i="35" s="1"/>
  <c r="U8" i="35"/>
  <c r="Z8" i="35" s="1"/>
  <c r="U7" i="35"/>
  <c r="Z7" i="35" s="1"/>
  <c r="U6" i="35"/>
  <c r="Z6" i="35" s="1"/>
  <c r="U5" i="35"/>
  <c r="Z5" i="35" s="1"/>
  <c r="T5" i="35"/>
  <c r="AA17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5" i="35"/>
  <c r="T14" i="35"/>
  <c r="T13" i="35"/>
  <c r="T12" i="35"/>
  <c r="T11" i="35"/>
  <c r="T10" i="35"/>
  <c r="T9" i="35"/>
  <c r="T8" i="35"/>
  <c r="T7" i="35"/>
  <c r="T6" i="35"/>
  <c r="T16" i="35"/>
  <c r="AG9" i="41" l="1"/>
  <c r="B79" i="45"/>
  <c r="B78" i="45"/>
  <c r="B77" i="45"/>
  <c r="B76" i="45"/>
  <c r="B75" i="45"/>
  <c r="B74" i="45"/>
  <c r="B73" i="45"/>
  <c r="B72" i="45"/>
  <c r="B71" i="45"/>
  <c r="B70" i="45"/>
  <c r="B69" i="45"/>
  <c r="B68" i="45"/>
  <c r="B67" i="45"/>
  <c r="B66" i="45"/>
  <c r="B65" i="45"/>
  <c r="B64" i="45"/>
  <c r="B63" i="45"/>
  <c r="B62" i="45"/>
  <c r="B61" i="45"/>
  <c r="B60" i="45"/>
  <c r="B59" i="45"/>
  <c r="B58" i="45"/>
  <c r="B57" i="45"/>
  <c r="B56" i="45"/>
  <c r="B55" i="45"/>
  <c r="B54" i="45"/>
  <c r="B53" i="45"/>
  <c r="B52" i="45"/>
  <c r="B51" i="45"/>
  <c r="B50" i="45"/>
  <c r="B49" i="45"/>
  <c r="B48" i="45"/>
  <c r="B47" i="45"/>
  <c r="B46" i="45"/>
  <c r="B45" i="45"/>
  <c r="B44" i="45"/>
  <c r="B43" i="45"/>
  <c r="B42" i="45"/>
  <c r="B41" i="45"/>
  <c r="B40" i="45"/>
  <c r="X36" i="41" l="1"/>
  <c r="R36" i="41" l="1"/>
  <c r="AL36" i="41"/>
  <c r="AL9" i="41"/>
  <c r="AM15" i="41"/>
  <c r="AM17" i="41"/>
  <c r="AM19" i="41"/>
  <c r="AM21" i="41"/>
  <c r="AM23" i="41"/>
  <c r="AM26" i="41"/>
  <c r="AM28" i="41"/>
  <c r="AM30" i="41"/>
  <c r="AM31" i="41"/>
  <c r="AM35" i="41"/>
  <c r="AM39" i="41"/>
  <c r="AM41" i="41"/>
  <c r="AM44" i="41"/>
  <c r="AM45" i="41"/>
  <c r="AM10" i="41"/>
  <c r="AM12" i="41"/>
  <c r="AF42" i="41"/>
  <c r="AF40" i="41"/>
  <c r="AF34" i="41"/>
  <c r="AF33" i="41"/>
  <c r="AF29" i="41"/>
  <c r="AF25" i="41"/>
  <c r="AF24" i="41"/>
  <c r="AF22" i="41"/>
  <c r="AF20" i="41"/>
  <c r="AF13" i="41"/>
  <c r="AF11" i="41"/>
  <c r="X43" i="41"/>
  <c r="X42" i="41"/>
  <c r="X38" i="41"/>
  <c r="X34" i="41"/>
  <c r="X33" i="41"/>
  <c r="X32" i="41"/>
  <c r="X27" i="41"/>
  <c r="X24" i="41"/>
  <c r="X16" i="41"/>
  <c r="X11" i="41"/>
  <c r="AL13" i="41"/>
  <c r="AL24" i="41"/>
  <c r="AL32" i="41"/>
  <c r="AL33" i="41"/>
  <c r="AL38" i="41"/>
  <c r="AL42" i="41"/>
  <c r="AF36" i="41" l="1"/>
  <c r="AM36" i="41" s="1"/>
  <c r="AL29" i="41"/>
  <c r="AL25" i="41"/>
  <c r="AL27" i="41"/>
  <c r="AL40" i="41"/>
  <c r="AL11" i="41"/>
  <c r="AL43" i="41"/>
  <c r="AL34" i="41"/>
  <c r="AL22" i="41"/>
  <c r="AL18" i="41"/>
  <c r="AL14" i="41"/>
  <c r="AL20" i="41"/>
  <c r="AL16" i="41"/>
  <c r="X13" i="41" l="1"/>
  <c r="R42" i="41"/>
  <c r="R33" i="41"/>
  <c r="R24" i="41"/>
  <c r="X20" i="41"/>
  <c r="X40" i="41"/>
  <c r="X22" i="41"/>
  <c r="AF27" i="41"/>
  <c r="AF18" i="41"/>
  <c r="X29" i="41"/>
  <c r="X25" i="41"/>
  <c r="AF14" i="41" l="1"/>
  <c r="AM33" i="41"/>
  <c r="AM24" i="41"/>
  <c r="AM42" i="41"/>
  <c r="R11" i="41"/>
  <c r="R27" i="41"/>
  <c r="R13" i="41"/>
  <c r="R16" i="41"/>
  <c r="R38" i="41"/>
  <c r="AF38" i="41"/>
  <c r="R43" i="41"/>
  <c r="AF43" i="41"/>
  <c r="R32" i="41"/>
  <c r="AF32" i="41"/>
  <c r="X18" i="41"/>
  <c r="X14" i="41"/>
  <c r="R25" i="41"/>
  <c r="R34" i="41"/>
  <c r="R18" i="41"/>
  <c r="R20" i="41"/>
  <c r="R14" i="41"/>
  <c r="R22" i="41"/>
  <c r="R29" i="41"/>
  <c r="R40" i="41"/>
  <c r="AM40" i="41" l="1"/>
  <c r="AM20" i="41"/>
  <c r="AM29" i="41"/>
  <c r="AM25" i="41"/>
  <c r="AM13" i="41"/>
  <c r="AM27" i="41"/>
  <c r="AM22" i="41"/>
  <c r="AM34" i="41"/>
  <c r="AM11" i="41"/>
  <c r="AM18" i="41"/>
  <c r="AF16" i="41"/>
  <c r="AM16" i="41" s="1"/>
  <c r="AM43" i="41"/>
  <c r="AM32" i="41"/>
  <c r="AM38" i="41"/>
  <c r="AM14" i="41"/>
  <c r="B4" i="28" l="1"/>
  <c r="B5" i="28"/>
  <c r="B6" i="28"/>
  <c r="B7" i="28"/>
  <c r="B28" i="37" l="1"/>
  <c r="B27" i="37"/>
  <c r="B13" i="37"/>
  <c r="B12" i="37"/>
  <c r="B11" i="37"/>
  <c r="B10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9" i="37"/>
  <c r="B8" i="37"/>
  <c r="B7" i="37"/>
  <c r="B6" i="37"/>
  <c r="B5" i="37"/>
  <c r="B4" i="37"/>
  <c r="B22" i="28" l="1"/>
  <c r="B23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G19" i="25" l="1"/>
  <c r="F19" i="25"/>
  <c r="E19" i="25"/>
  <c r="D19" i="25"/>
  <c r="C19" i="25"/>
  <c r="M18" i="25"/>
  <c r="L18" i="25"/>
  <c r="J18" i="25"/>
  <c r="H18" i="25"/>
  <c r="I18" i="25" s="1"/>
  <c r="M17" i="25"/>
  <c r="L17" i="25"/>
  <c r="K17" i="25"/>
  <c r="J17" i="25"/>
  <c r="H17" i="25"/>
  <c r="I17" i="25" s="1"/>
  <c r="M16" i="25"/>
  <c r="L16" i="25"/>
  <c r="K16" i="25"/>
  <c r="J16" i="25"/>
  <c r="H16" i="25"/>
  <c r="I16" i="25" s="1"/>
  <c r="M15" i="25"/>
  <c r="L15" i="25"/>
  <c r="K15" i="25"/>
  <c r="J15" i="25"/>
  <c r="H15" i="25"/>
  <c r="I15" i="25" s="1"/>
  <c r="H9" i="25"/>
  <c r="I9" i="25" s="1"/>
  <c r="G36" i="25"/>
  <c r="F36" i="25"/>
  <c r="E36" i="25"/>
  <c r="D36" i="25"/>
  <c r="C36" i="25"/>
  <c r="M35" i="25"/>
  <c r="L35" i="25"/>
  <c r="J35" i="25"/>
  <c r="I35" i="25"/>
  <c r="M34" i="25"/>
  <c r="L34" i="25"/>
  <c r="K34" i="25"/>
  <c r="J34" i="25"/>
  <c r="H34" i="25"/>
  <c r="I34" i="25" s="1"/>
  <c r="M33" i="25"/>
  <c r="L33" i="25"/>
  <c r="K33" i="25"/>
  <c r="J33" i="25"/>
  <c r="H33" i="25"/>
  <c r="M32" i="25"/>
  <c r="L32" i="25"/>
  <c r="K32" i="25"/>
  <c r="J32" i="25"/>
  <c r="H32" i="25"/>
  <c r="I32" i="25" s="1"/>
  <c r="G29" i="25"/>
  <c r="F29" i="25"/>
  <c r="E29" i="25"/>
  <c r="D29" i="25"/>
  <c r="C29" i="25"/>
  <c r="M28" i="25"/>
  <c r="L28" i="25"/>
  <c r="K28" i="25"/>
  <c r="J28" i="25"/>
  <c r="H28" i="25"/>
  <c r="I28" i="25" s="1"/>
  <c r="M27" i="25"/>
  <c r="L27" i="25"/>
  <c r="J27" i="25"/>
  <c r="I27" i="25"/>
  <c r="M26" i="25"/>
  <c r="L26" i="25"/>
  <c r="K26" i="25"/>
  <c r="J26" i="25"/>
  <c r="H26" i="25"/>
  <c r="I26" i="25" s="1"/>
  <c r="M25" i="25"/>
  <c r="L25" i="25"/>
  <c r="K25" i="25"/>
  <c r="J25" i="25"/>
  <c r="H25" i="25"/>
  <c r="I25" i="25" s="1"/>
  <c r="M24" i="25"/>
  <c r="L24" i="25"/>
  <c r="K24" i="25"/>
  <c r="J24" i="25"/>
  <c r="H24" i="25"/>
  <c r="G10" i="25"/>
  <c r="F10" i="25"/>
  <c r="E10" i="25"/>
  <c r="D10" i="25"/>
  <c r="C10" i="25"/>
  <c r="M9" i="25"/>
  <c r="L9" i="25"/>
  <c r="J9" i="25"/>
  <c r="M8" i="25"/>
  <c r="L8" i="25"/>
  <c r="K8" i="25"/>
  <c r="J8" i="25"/>
  <c r="H8" i="25"/>
  <c r="I8" i="25" s="1"/>
  <c r="M7" i="25"/>
  <c r="L7" i="25"/>
  <c r="K7" i="25"/>
  <c r="J7" i="25"/>
  <c r="H7" i="25"/>
  <c r="M6" i="25"/>
  <c r="L6" i="25"/>
  <c r="K6" i="25"/>
  <c r="J6" i="25"/>
  <c r="H6" i="25"/>
  <c r="I6" i="25" s="1"/>
  <c r="M29" i="25" l="1"/>
  <c r="M36" i="25"/>
  <c r="L29" i="25"/>
  <c r="H36" i="25"/>
  <c r="L36" i="25"/>
  <c r="M10" i="25"/>
  <c r="M19" i="25"/>
  <c r="J19" i="25"/>
  <c r="K19" i="25"/>
  <c r="L19" i="25"/>
  <c r="H19" i="25"/>
  <c r="I19" i="25" s="1"/>
  <c r="H29" i="25"/>
  <c r="I29" i="25" s="1"/>
  <c r="K29" i="25"/>
  <c r="L10" i="25"/>
  <c r="J29" i="25"/>
  <c r="I36" i="25"/>
  <c r="J36" i="25"/>
  <c r="K36" i="25"/>
  <c r="I33" i="25"/>
  <c r="I24" i="25"/>
  <c r="K10" i="25"/>
  <c r="H10" i="25"/>
  <c r="I10" i="25" s="1"/>
  <c r="I7" i="25"/>
  <c r="J10" i="25"/>
  <c r="R9" i="41"/>
  <c r="AM9" i="4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3top_user000</author>
  </authors>
  <commentList>
    <comment ref="BE18" authorId="0" shapeId="0" xr:uid="{D7BF2AD3-2E7D-4111-A0E5-D88A0E38E941}">
      <text>
        <r>
          <rPr>
            <b/>
            <sz val="9"/>
            <color indexed="81"/>
            <rFont val="돋움"/>
            <family val="3"/>
            <charset val="129"/>
          </rPr>
          <t>조영진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0" authorId="0" shapeId="0" xr:uid="{1F73E17A-03D9-493E-A7BC-5D8A10C3244F}">
      <text>
        <r>
          <rPr>
            <b/>
            <sz val="9"/>
            <color indexed="81"/>
            <rFont val="돋움"/>
            <family val="3"/>
            <charset val="129"/>
          </rPr>
          <t>조영진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21" authorId="0" shapeId="0" xr:uid="{C626E6A8-2F00-42DF-97F0-DB999982EA45}">
      <text>
        <r>
          <rPr>
            <b/>
            <sz val="9"/>
            <color indexed="81"/>
            <rFont val="돋움"/>
            <family val="3"/>
            <charset val="129"/>
          </rPr>
          <t>조영진
임직원은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편의점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택배
신청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F21" authorId="0" shapeId="0" xr:uid="{688F3F61-4B5E-4421-B9FA-5D6C27B34845}">
      <text>
        <r>
          <rPr>
            <b/>
            <sz val="9"/>
            <color indexed="81"/>
            <rFont val="돋움"/>
            <family val="3"/>
            <charset val="129"/>
          </rPr>
          <t>조영진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J23" authorId="0" shapeId="0" xr:uid="{37633534-21C7-46EF-B9F0-C28A7BCB08E2}">
      <text>
        <r>
          <rPr>
            <b/>
            <sz val="9"/>
            <color indexed="81"/>
            <rFont val="돋움"/>
            <family val="3"/>
            <charset val="129"/>
          </rPr>
          <t>주문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유료배송이었으므로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추가배송비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I27" authorId="0" shapeId="0" xr:uid="{3DE4F896-48F2-4C65-81D5-367BB8F7F0BE}">
      <text>
        <r>
          <rPr>
            <b/>
            <sz val="9"/>
            <color indexed="81"/>
            <rFont val="돋움"/>
            <family val="3"/>
            <charset val="129"/>
          </rPr>
          <t>조영진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부분취소로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변경함에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따라
철회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O27" authorId="0" shapeId="0" xr:uid="{D8C6758F-B23A-4EB1-810C-3A7BC84160DC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상품
이벤트포인트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0" authorId="0" shapeId="0" xr:uid="{97AC1ADD-7436-4915-9D38-8A800C7B8A41}">
      <text>
        <r>
          <rPr>
            <b/>
            <sz val="9"/>
            <color indexed="81"/>
            <rFont val="돋움"/>
            <family val="3"/>
            <charset val="129"/>
          </rPr>
          <t>전체반품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입점사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자사별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클레임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6" authorId="0" shapeId="0" xr:uid="{B93850D6-E9DE-4FF3-AEEF-1FCF00427936}">
      <text>
        <r>
          <rPr>
            <b/>
            <sz val="9"/>
            <color indexed="81"/>
            <rFont val="돋움"/>
            <family val="3"/>
            <charset val="129"/>
          </rPr>
          <t>픽업배송이므로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배송비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38" authorId="0" shapeId="0" xr:uid="{41DC4997-9797-4697-ADD3-9866359A74EA}">
      <text>
        <r>
          <rPr>
            <b/>
            <sz val="9"/>
            <color indexed="81"/>
            <rFont val="Tahoma"/>
            <family val="2"/>
          </rPr>
          <t>3top_user000: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프로모션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쿠폰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</text>
    </comment>
    <comment ref="BO43" authorId="0" shapeId="0" xr:uid="{ED97F974-6F39-4504-AE97-B96F741EBA5B}">
      <text>
        <r>
          <rPr>
            <b/>
            <sz val="9"/>
            <color indexed="81"/>
            <rFont val="Tahoma"/>
            <family val="2"/>
          </rPr>
          <t>3top_user000: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포인트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</t>
        </r>
      </text>
    </comment>
  </commentList>
</comments>
</file>

<file path=xl/sharedStrings.xml><?xml version="1.0" encoding="utf-8"?>
<sst xmlns="http://schemas.openxmlformats.org/spreadsheetml/2006/main" count="2726" uniqueCount="682">
  <si>
    <t>제.개정 이력</t>
    <phoneticPr fontId="3" type="noConversion"/>
  </si>
  <si>
    <t>프로젝트</t>
  </si>
  <si>
    <t>단계</t>
  </si>
  <si>
    <t>작성자</t>
  </si>
  <si>
    <t>버전</t>
    <phoneticPr fontId="3" type="noConversion"/>
  </si>
  <si>
    <t>제.개정일자</t>
    <phoneticPr fontId="3" type="noConversion"/>
  </si>
  <si>
    <t>제.개정내용</t>
    <phoneticPr fontId="3" type="noConversion"/>
  </si>
  <si>
    <t>작성자</t>
    <phoneticPr fontId="3" type="noConversion"/>
  </si>
  <si>
    <t>ABC-MART 온라인 쇼핑몰 2.0 구축</t>
    <phoneticPr fontId="3" type="noConversion"/>
  </si>
  <si>
    <t>프로젝트</t>
    <phoneticPr fontId="3" type="noConversion"/>
  </si>
  <si>
    <t>작성자</t>
    <phoneticPr fontId="3" type="noConversion"/>
  </si>
  <si>
    <t>작성일</t>
    <phoneticPr fontId="3" type="noConversion"/>
  </si>
  <si>
    <t>승인자</t>
    <phoneticPr fontId="3" type="noConversion"/>
  </si>
  <si>
    <t>승인일</t>
    <phoneticPr fontId="3" type="noConversion"/>
  </si>
  <si>
    <t>작성일</t>
    <phoneticPr fontId="3" type="noConversion"/>
  </si>
  <si>
    <t>초안 작성</t>
    <phoneticPr fontId="3" type="noConversion"/>
  </si>
  <si>
    <t xml:space="preserve"> </t>
    <phoneticPr fontId="3" type="noConversion"/>
  </si>
  <si>
    <t>테스트</t>
    <phoneticPr fontId="3" type="noConversion"/>
  </si>
  <si>
    <t>통합테스트 시나리오 및 결과서</t>
    <phoneticPr fontId="3" type="noConversion"/>
  </si>
  <si>
    <t>수행일자</t>
    <phoneticPr fontId="3" type="noConversion"/>
  </si>
  <si>
    <t>비고</t>
    <phoneticPr fontId="3" type="noConversion"/>
  </si>
  <si>
    <t>ID</t>
    <phoneticPr fontId="3" type="noConversion"/>
  </si>
  <si>
    <t>상품정보</t>
    <phoneticPr fontId="3" type="noConversion"/>
  </si>
  <si>
    <t>상품명</t>
    <phoneticPr fontId="3" type="noConversion"/>
  </si>
  <si>
    <t>쿠폰</t>
    <phoneticPr fontId="3" type="noConversion"/>
  </si>
  <si>
    <t>주문번호</t>
    <phoneticPr fontId="3" type="noConversion"/>
  </si>
  <si>
    <t>시나리오 수</t>
    <phoneticPr fontId="3" type="noConversion"/>
  </si>
  <si>
    <t>Pass</t>
    <phoneticPr fontId="3" type="noConversion"/>
  </si>
  <si>
    <t>Fail</t>
    <phoneticPr fontId="3" type="noConversion"/>
  </si>
  <si>
    <t>N/A</t>
    <phoneticPr fontId="3" type="noConversion"/>
  </si>
  <si>
    <t>Block</t>
    <phoneticPr fontId="3" type="noConversion"/>
  </si>
  <si>
    <t>SYS</t>
    <phoneticPr fontId="3" type="noConversion"/>
  </si>
  <si>
    <t>시나리오 순서</t>
    <phoneticPr fontId="3" type="noConversion"/>
  </si>
  <si>
    <t>SYS</t>
    <phoneticPr fontId="25" type="noConversion"/>
  </si>
  <si>
    <t>중요도</t>
    <phoneticPr fontId="25" type="noConversion"/>
  </si>
  <si>
    <t>테스트 항목</t>
    <phoneticPr fontId="25" type="noConversion"/>
  </si>
  <si>
    <t>입력값</t>
    <phoneticPr fontId="25" type="noConversion"/>
  </si>
  <si>
    <t>기대 결과</t>
    <phoneticPr fontId="25" type="noConversion"/>
  </si>
  <si>
    <t>수행일자</t>
    <phoneticPr fontId="25" type="noConversion"/>
  </si>
  <si>
    <t>수행자</t>
    <phoneticPr fontId="25" type="noConversion"/>
  </si>
  <si>
    <t>테스트결과</t>
    <phoneticPr fontId="25" type="noConversion"/>
  </si>
  <si>
    <t>비고</t>
    <phoneticPr fontId="25" type="noConversion"/>
  </si>
  <si>
    <t>ID</t>
    <phoneticPr fontId="25" type="noConversion"/>
  </si>
  <si>
    <t>프로세스</t>
    <phoneticPr fontId="3" type="noConversion"/>
  </si>
  <si>
    <t>테스트 사전 준비사항</t>
    <phoneticPr fontId="3" type="noConversion"/>
  </si>
  <si>
    <t>수정여부</t>
    <phoneticPr fontId="3" type="noConversion"/>
  </si>
  <si>
    <t>시나리오명</t>
    <phoneticPr fontId="25" type="noConversion"/>
  </si>
  <si>
    <t>수행 절차</t>
    <phoneticPr fontId="3" type="noConversion"/>
  </si>
  <si>
    <t>Total</t>
    <phoneticPr fontId="3" type="noConversion"/>
  </si>
  <si>
    <t>진척율</t>
    <phoneticPr fontId="3" type="noConversion"/>
  </si>
  <si>
    <t>수행율</t>
    <phoneticPr fontId="3" type="noConversion"/>
  </si>
  <si>
    <t>성공율</t>
    <phoneticPr fontId="3" type="noConversion"/>
  </si>
  <si>
    <t>결함율</t>
    <phoneticPr fontId="3" type="noConversion"/>
  </si>
  <si>
    <t>수행불가율</t>
    <phoneticPr fontId="3" type="noConversion"/>
  </si>
  <si>
    <t>MO</t>
    <phoneticPr fontId="3" type="noConversion"/>
  </si>
  <si>
    <t>BO</t>
    <phoneticPr fontId="3" type="noConversion"/>
  </si>
  <si>
    <t>PO</t>
    <phoneticPr fontId="3" type="noConversion"/>
  </si>
  <si>
    <t>Total</t>
    <phoneticPr fontId="3" type="noConversion"/>
  </si>
  <si>
    <t>…</t>
    <phoneticPr fontId="3" type="noConversion"/>
  </si>
  <si>
    <t>테스트 수행 현황</t>
    <phoneticPr fontId="3" type="noConversion"/>
  </si>
  <si>
    <t>Sheet명</t>
    <phoneticPr fontId="3" type="noConversion"/>
  </si>
  <si>
    <t>... Sheet</t>
    <phoneticPr fontId="3" type="noConversion"/>
  </si>
  <si>
    <t>No.</t>
    <phoneticPr fontId="25" type="noConversion"/>
  </si>
  <si>
    <t>조영진</t>
    <phoneticPr fontId="3" type="noConversion"/>
  </si>
  <si>
    <t>회원유형</t>
    <phoneticPr fontId="25" type="noConversion"/>
  </si>
  <si>
    <t>Password</t>
    <phoneticPr fontId="25" type="noConversion"/>
  </si>
  <si>
    <t>이메일</t>
    <phoneticPr fontId="3" type="noConversion"/>
  </si>
  <si>
    <t>휴대폰</t>
    <phoneticPr fontId="25" type="noConversion"/>
  </si>
  <si>
    <t>회원명</t>
    <phoneticPr fontId="25" type="noConversion"/>
  </si>
  <si>
    <t>Tester</t>
    <phoneticPr fontId="3" type="noConversion"/>
  </si>
  <si>
    <t>통합멤버십 회원</t>
    <phoneticPr fontId="3" type="noConversion"/>
  </si>
  <si>
    <t>온라인 회원</t>
    <phoneticPr fontId="3" type="noConversion"/>
  </si>
  <si>
    <t>임직원</t>
    <phoneticPr fontId="3" type="noConversion"/>
  </si>
  <si>
    <t>* 통합테스트 환경에서 사용 가능한 회원유형별 계정정보 등록, 동일 ID를 2명 이상이 사용하지 않도록 Test 정보 등록</t>
    <phoneticPr fontId="3" type="noConversion"/>
  </si>
  <si>
    <t>온라인 상품코드</t>
    <phoneticPr fontId="25" type="noConversion"/>
  </si>
  <si>
    <t>프로모션 유형</t>
    <phoneticPr fontId="25" type="noConversion"/>
  </si>
  <si>
    <t>프로모션 번호</t>
    <phoneticPr fontId="3" type="noConversion"/>
  </si>
  <si>
    <t>프로모션</t>
    <phoneticPr fontId="3" type="noConversion"/>
  </si>
  <si>
    <t>프로모션명</t>
    <phoneticPr fontId="25" type="noConversion"/>
  </si>
  <si>
    <t>프로모션 기간</t>
    <phoneticPr fontId="3" type="noConversion"/>
  </si>
  <si>
    <t>혜택 내용</t>
    <phoneticPr fontId="3" type="noConversion"/>
  </si>
  <si>
    <t>프로모션 대상</t>
    <phoneticPr fontId="3" type="noConversion"/>
  </si>
  <si>
    <t>임직원</t>
    <phoneticPr fontId="3" type="noConversion"/>
  </si>
  <si>
    <t>온라인</t>
    <phoneticPr fontId="3" type="noConversion"/>
  </si>
  <si>
    <t>멤버십</t>
    <phoneticPr fontId="3" type="noConversion"/>
  </si>
  <si>
    <t>적용 상품번호</t>
    <phoneticPr fontId="3" type="noConversion"/>
  </si>
  <si>
    <t>쿠폰 유형</t>
    <phoneticPr fontId="25" type="noConversion"/>
  </si>
  <si>
    <t>쿠폰 번호</t>
  </si>
  <si>
    <t>쿠폰명</t>
  </si>
  <si>
    <t>쿠폰 대상</t>
  </si>
  <si>
    <t>쿠폰 유효기간</t>
    <phoneticPr fontId="3" type="noConversion"/>
  </si>
  <si>
    <t>유형</t>
    <phoneticPr fontId="3" type="noConversion"/>
  </si>
  <si>
    <t>분류</t>
    <phoneticPr fontId="3" type="noConversion"/>
  </si>
  <si>
    <t>구분</t>
    <phoneticPr fontId="3" type="noConversion"/>
  </si>
  <si>
    <t>20% 정률 할인</t>
  </si>
  <si>
    <t>30% 정률 할인</t>
  </si>
  <si>
    <t>비회원</t>
    <phoneticPr fontId="3" type="noConversion"/>
  </si>
  <si>
    <t>혜택 및 제약 조건</t>
    <phoneticPr fontId="3" type="noConversion"/>
  </si>
  <si>
    <t>O</t>
  </si>
  <si>
    <t xml:space="preserve">입점사코드 : </t>
    <phoneticPr fontId="3" type="noConversion"/>
  </si>
  <si>
    <t>* 통합테스트 환경에서 사용 가능한 시스템/권한별 계정정보 등록, 동일 ID를 2명 이상이 사용하지 않도록 Test 정보 등록</t>
    <phoneticPr fontId="3" type="noConversion"/>
  </si>
  <si>
    <t>시스템</t>
    <phoneticPr fontId="25" type="noConversion"/>
  </si>
  <si>
    <t>권한</t>
    <phoneticPr fontId="3" type="noConversion"/>
  </si>
  <si>
    <t>A 입점사 관리자</t>
    <phoneticPr fontId="3" type="noConversion"/>
  </si>
  <si>
    <t>B 입점사 관리자</t>
    <phoneticPr fontId="3" type="noConversion"/>
  </si>
  <si>
    <t>통합몰 운영</t>
    <phoneticPr fontId="3" type="noConversion"/>
  </si>
  <si>
    <t>고객센터</t>
    <phoneticPr fontId="3" type="noConversion"/>
  </si>
  <si>
    <t>온라인물류센터</t>
    <phoneticPr fontId="3" type="noConversion"/>
  </si>
  <si>
    <t>온라인AS센터</t>
    <phoneticPr fontId="3" type="noConversion"/>
  </si>
  <si>
    <t>C 입점사 관리자</t>
    <phoneticPr fontId="3" type="noConversion"/>
  </si>
  <si>
    <t>보조 결제수단</t>
    <phoneticPr fontId="3" type="noConversion"/>
  </si>
  <si>
    <t>옵션 포함 정상가</t>
    <phoneticPr fontId="3" type="noConversion"/>
  </si>
  <si>
    <t>OTS</t>
  </si>
  <si>
    <t>주문정보</t>
    <phoneticPr fontId="3" type="noConversion"/>
  </si>
  <si>
    <t>클레임</t>
    <phoneticPr fontId="3" type="noConversion"/>
  </si>
  <si>
    <t>●</t>
  </si>
  <si>
    <t>사이트</t>
    <phoneticPr fontId="3" type="noConversion"/>
  </si>
  <si>
    <t>시나리오 ID</t>
    <phoneticPr fontId="3" type="noConversion"/>
  </si>
  <si>
    <t>IT-OC-001</t>
  </si>
  <si>
    <t>IT-OC-002</t>
  </si>
  <si>
    <t>IT-OC-003</t>
  </si>
  <si>
    <t>IT-OC-004</t>
  </si>
  <si>
    <t>IT-OC-005</t>
  </si>
  <si>
    <t>IT-OC-006</t>
  </si>
  <si>
    <t>IT-OC-007</t>
  </si>
  <si>
    <t>IT-OC-008</t>
  </si>
  <si>
    <t>IT-OC-009</t>
  </si>
  <si>
    <t>IT-OC-010</t>
  </si>
  <si>
    <t>IT-OC-011</t>
  </si>
  <si>
    <t>IT-OC-012</t>
  </si>
  <si>
    <t>IT-OC-013</t>
  </si>
  <si>
    <t>IT-OC-014</t>
  </si>
  <si>
    <t>IT-OC-015</t>
  </si>
  <si>
    <t>IT-OC-016</t>
  </si>
  <si>
    <t>IT-OC-017</t>
  </si>
  <si>
    <t>IT-OC-018</t>
  </si>
  <si>
    <t>온라인회원</t>
  </si>
  <si>
    <t>-</t>
  </si>
  <si>
    <t>IT-OC-019</t>
  </si>
  <si>
    <t>IT-OC-020</t>
  </si>
  <si>
    <t>IT-OC-021</t>
  </si>
  <si>
    <t>회원</t>
    <phoneticPr fontId="3" type="noConversion"/>
  </si>
  <si>
    <t>주문 진행 상태</t>
    <phoneticPr fontId="3" type="noConversion"/>
  </si>
  <si>
    <t>결제완료</t>
    <phoneticPr fontId="3" type="noConversion"/>
  </si>
  <si>
    <t>상품준비중</t>
    <phoneticPr fontId="3" type="noConversion"/>
  </si>
  <si>
    <t>주문취소</t>
    <phoneticPr fontId="3" type="noConversion"/>
  </si>
  <si>
    <t>배송완료</t>
    <phoneticPr fontId="3" type="noConversion"/>
  </si>
  <si>
    <t>반품완료</t>
    <phoneticPr fontId="3" type="noConversion"/>
  </si>
  <si>
    <t>교환완료</t>
    <phoneticPr fontId="3" type="noConversion"/>
  </si>
  <si>
    <t>No.</t>
    <phoneticPr fontId="3" type="noConversion"/>
  </si>
  <si>
    <t>테스트 결과</t>
    <phoneticPr fontId="3" type="noConversion"/>
  </si>
  <si>
    <t>수행자</t>
    <phoneticPr fontId="3" type="noConversion"/>
  </si>
  <si>
    <t>테스트결과</t>
    <phoneticPr fontId="3" type="noConversion"/>
  </si>
  <si>
    <t>결함사항</t>
    <phoneticPr fontId="3" type="noConversion"/>
  </si>
  <si>
    <t>비회원 
영수증키</t>
    <phoneticPr fontId="3" type="noConversion"/>
  </si>
  <si>
    <t>A-RT</t>
  </si>
  <si>
    <t>비회원</t>
  </si>
  <si>
    <t>임직원</t>
  </si>
  <si>
    <t>통합멤버십</t>
  </si>
  <si>
    <t>수량</t>
    <phoneticPr fontId="3" type="noConversion"/>
  </si>
  <si>
    <t>배송비</t>
    <phoneticPr fontId="3" type="noConversion"/>
  </si>
  <si>
    <t>판매
채널</t>
    <phoneticPr fontId="3" type="noConversion"/>
  </si>
  <si>
    <t>판매
주체</t>
    <phoneticPr fontId="3" type="noConversion"/>
  </si>
  <si>
    <t>참조
문서</t>
    <phoneticPr fontId="3" type="noConversion"/>
  </si>
  <si>
    <t>네이버
페이</t>
  </si>
  <si>
    <t>카카오
페이</t>
  </si>
  <si>
    <t>휴대폰
결제</t>
  </si>
  <si>
    <t>에스크로</t>
    <phoneticPr fontId="3" type="noConversion"/>
  </si>
  <si>
    <t>포인트 : 통합멤버십</t>
  </si>
  <si>
    <t>시나리오 ID</t>
  </si>
  <si>
    <t>사이트</t>
  </si>
  <si>
    <t>회원 유형</t>
  </si>
  <si>
    <t>상품</t>
  </si>
  <si>
    <t>프로모션</t>
  </si>
  <si>
    <t>쿠폰</t>
  </si>
  <si>
    <t>배송비 (기준금액 x만원)</t>
  </si>
  <si>
    <t>보조 결제수단</t>
  </si>
  <si>
    <t>주 결제수단</t>
  </si>
  <si>
    <t>클레임</t>
  </si>
  <si>
    <t>추가 배송비 결제</t>
  </si>
  <si>
    <t>판매채널</t>
  </si>
  <si>
    <t>공급방식</t>
  </si>
  <si>
    <t>상품속성</t>
  </si>
  <si>
    <t>주문수량</t>
  </si>
  <si>
    <t>할인</t>
  </si>
  <si>
    <t>사은품</t>
  </si>
  <si>
    <t>제휴사 할인 쿠폰</t>
  </si>
  <si>
    <t>품절보상 쿠폰</t>
  </si>
  <si>
    <t>기타</t>
  </si>
  <si>
    <t>유료</t>
  </si>
  <si>
    <t>무료</t>
  </si>
  <si>
    <t>신용카드</t>
  </si>
  <si>
    <t>현금성</t>
  </si>
  <si>
    <t>접수경로</t>
  </si>
  <si>
    <t>취소</t>
  </si>
  <si>
    <t>반품</t>
  </si>
  <si>
    <t>교환</t>
  </si>
  <si>
    <t>ABC-Mart</t>
  </si>
  <si>
    <t>GS</t>
  </si>
  <si>
    <t>자사</t>
  </si>
  <si>
    <t>입점</t>
  </si>
  <si>
    <t>일반</t>
  </si>
  <si>
    <t>무료배송</t>
  </si>
  <si>
    <t>픽업</t>
  </si>
  <si>
    <t>예약</t>
  </si>
  <si>
    <t>단수</t>
  </si>
  <si>
    <t>복수</t>
  </si>
  <si>
    <t>즉시할인</t>
  </si>
  <si>
    <t>다족구매 할인</t>
  </si>
  <si>
    <t>기간한정특가</t>
  </si>
  <si>
    <t>사은품
지급</t>
  </si>
  <si>
    <t>플러스</t>
  </si>
  <si>
    <t>더블
포인트</t>
  </si>
  <si>
    <t>3만원
이상</t>
  </si>
  <si>
    <t>무료배송
쿠폰</t>
  </si>
  <si>
    <t>기프트
카드</t>
  </si>
  <si>
    <t>포인트</t>
  </si>
  <si>
    <t>무통장</t>
  </si>
  <si>
    <t>실시간
계좌이체</t>
  </si>
  <si>
    <t>에스크로</t>
  </si>
  <si>
    <t>프론트</t>
  </si>
  <si>
    <t>고객센터</t>
  </si>
  <si>
    <t>전체취소</t>
  </si>
  <si>
    <t>부분취소</t>
  </si>
  <si>
    <t>전체반품</t>
  </si>
  <si>
    <t>부분반품</t>
  </si>
  <si>
    <t>전체교환</t>
  </si>
  <si>
    <t>부분교환</t>
  </si>
  <si>
    <t>환불금액 차감</t>
  </si>
  <si>
    <t>부분취소 클레임 철회 : 에스크로(무통장/실시간), 휴대폰결제</t>
    <phoneticPr fontId="3" type="noConversion"/>
  </si>
  <si>
    <t>예약상품 : 통합멤버십 / 1개 상품 바로구매</t>
    <phoneticPr fontId="3" type="noConversion"/>
  </si>
  <si>
    <t>배송유형</t>
    <phoneticPr fontId="3" type="noConversion"/>
  </si>
  <si>
    <t>픽업</t>
    <phoneticPr fontId="3" type="noConversion"/>
  </si>
  <si>
    <t>택배</t>
    <phoneticPr fontId="3" type="noConversion"/>
  </si>
  <si>
    <t>편의점</t>
    <phoneticPr fontId="3" type="noConversion"/>
  </si>
  <si>
    <t>유형</t>
    <phoneticPr fontId="3" type="noConversion"/>
  </si>
  <si>
    <t>프로모션명</t>
    <phoneticPr fontId="3" type="noConversion"/>
  </si>
  <si>
    <t>무료배송</t>
    <phoneticPr fontId="3" type="noConversion"/>
  </si>
  <si>
    <t>픽업가능</t>
    <phoneticPr fontId="3" type="noConversion"/>
  </si>
  <si>
    <t>쿠폰번호</t>
    <phoneticPr fontId="3" type="noConversion"/>
  </si>
  <si>
    <t>분류</t>
    <phoneticPr fontId="3" type="noConversion"/>
  </si>
  <si>
    <t>구분</t>
    <phoneticPr fontId="3" type="noConversion"/>
  </si>
  <si>
    <t>기프트카드</t>
    <phoneticPr fontId="3" type="noConversion"/>
  </si>
  <si>
    <t>구매 포인트</t>
    <phoneticPr fontId="3" type="noConversion"/>
  </si>
  <si>
    <t>주 결제수단</t>
    <phoneticPr fontId="3" type="noConversion"/>
  </si>
  <si>
    <t>결제수단</t>
    <phoneticPr fontId="3" type="noConversion"/>
  </si>
  <si>
    <t>이벤트포인트</t>
    <phoneticPr fontId="3" type="noConversion"/>
  </si>
  <si>
    <t>주문금액</t>
    <phoneticPr fontId="3" type="noConversion"/>
  </si>
  <si>
    <t>할인쿠폰</t>
  </si>
  <si>
    <t>품절보상쿠폰</t>
  </si>
  <si>
    <t>주체</t>
    <phoneticPr fontId="3" type="noConversion"/>
  </si>
  <si>
    <t>무료적용</t>
    <phoneticPr fontId="3" type="noConversion"/>
  </si>
  <si>
    <t>실시간 계좌이체</t>
  </si>
  <si>
    <t>신용카드
전표</t>
    <phoneticPr fontId="3" type="noConversion"/>
  </si>
  <si>
    <t>현금
영수증</t>
    <phoneticPr fontId="3" type="noConversion"/>
  </si>
  <si>
    <t>접수경로</t>
    <phoneticPr fontId="3" type="noConversion"/>
  </si>
  <si>
    <t>클레임
철회</t>
    <phoneticPr fontId="3" type="noConversion"/>
  </si>
  <si>
    <t>배송비 추가 결제</t>
    <phoneticPr fontId="3" type="noConversion"/>
  </si>
  <si>
    <t>추가 배송비</t>
    <phoneticPr fontId="3" type="noConversion"/>
  </si>
  <si>
    <t>무료배송상품</t>
    <phoneticPr fontId="3" type="noConversion"/>
  </si>
  <si>
    <t>프로모션번호</t>
    <phoneticPr fontId="3" type="noConversion"/>
  </si>
  <si>
    <t>배송
주체</t>
    <phoneticPr fontId="3" type="noConversion"/>
  </si>
  <si>
    <t>상품
유형</t>
    <phoneticPr fontId="3" type="noConversion"/>
  </si>
  <si>
    <t>IT-OC-001</t>
    <phoneticPr fontId="3" type="noConversion"/>
  </si>
  <si>
    <t>IT-OC-002</t>
    <phoneticPr fontId="3" type="noConversion"/>
  </si>
  <si>
    <t>IT-OC-003</t>
    <phoneticPr fontId="3" type="noConversion"/>
  </si>
  <si>
    <t>IT-OC-004</t>
    <phoneticPr fontId="3" type="noConversion"/>
  </si>
  <si>
    <t>IT-OC-005</t>
    <phoneticPr fontId="3" type="noConversion"/>
  </si>
  <si>
    <t>IT-OC-006</t>
    <phoneticPr fontId="3" type="noConversion"/>
  </si>
  <si>
    <t>IT-OC-007</t>
    <phoneticPr fontId="3" type="noConversion"/>
  </si>
  <si>
    <t>IT-OC-008</t>
    <phoneticPr fontId="3" type="noConversion"/>
  </si>
  <si>
    <t>IT-OC-012</t>
    <phoneticPr fontId="3" type="noConversion"/>
  </si>
  <si>
    <t>IT-OC-013</t>
    <phoneticPr fontId="3" type="noConversion"/>
  </si>
  <si>
    <t>IT-OC-009</t>
    <phoneticPr fontId="3" type="noConversion"/>
  </si>
  <si>
    <t>무료배송쿠폰</t>
  </si>
  <si>
    <t>박지숙</t>
    <phoneticPr fontId="3" type="noConversion"/>
  </si>
  <si>
    <t>1차 검토사항 보완/수정</t>
    <phoneticPr fontId="3" type="noConversion"/>
  </si>
  <si>
    <t>2차 검토사항 보완/수정</t>
    <phoneticPr fontId="3" type="noConversion"/>
  </si>
  <si>
    <t>3차 검토사항 보완/수정, AS 시나리오 추가 작성</t>
    <phoneticPr fontId="3" type="noConversion"/>
  </si>
  <si>
    <t>4차 검토사항 보완/수정</t>
    <phoneticPr fontId="3" type="noConversion"/>
  </si>
  <si>
    <t>클레임
철회</t>
    <phoneticPr fontId="3" type="noConversion"/>
  </si>
  <si>
    <t>●</t>
    <phoneticPr fontId="3" type="noConversion"/>
  </si>
  <si>
    <t>환불금액
차감</t>
    <phoneticPr fontId="3" type="noConversion"/>
  </si>
  <si>
    <t>무료배송상품</t>
  </si>
  <si>
    <t>IT-OC-010</t>
    <phoneticPr fontId="3" type="noConversion"/>
  </si>
  <si>
    <t>정상가</t>
    <phoneticPr fontId="3" type="noConversion"/>
  </si>
  <si>
    <t>옵션 추가가격</t>
    <phoneticPr fontId="3" type="noConversion"/>
  </si>
  <si>
    <t>택배</t>
  </si>
  <si>
    <t>[전체] 기간한정_30% 정률 할인</t>
  </si>
  <si>
    <t>[전체] 즉시할인_20% 정률 할인</t>
  </si>
  <si>
    <t>[전체] 상품 사은품_사은품명(사은품번호)</t>
  </si>
  <si>
    <t>[온라인] 다족구매_2족 10%, 3족 20%, 4족 이상 30%</t>
  </si>
  <si>
    <t>[전체] 다족구매_2족 이상 50% (1+1)</t>
  </si>
  <si>
    <t>[통합멤버십] 기간한정_30% 정률 할인</t>
  </si>
  <si>
    <t>[통합멤버십] 즉시할인_20% 정률 할인</t>
  </si>
  <si>
    <t>[전체] 기간한정_5,000원 정액 할인</t>
  </si>
  <si>
    <t>[회원] 즉시할인_3,000원 정액 할인</t>
  </si>
  <si>
    <t>[임직원] 다족구매_2족 이상 50%</t>
  </si>
  <si>
    <t>[일반/자사/회원] 5% 정률 할인 / 최대 5,000원</t>
  </si>
  <si>
    <t>[입점] 품절보상 / 20% 정률 할인 / 1개 단품만 적용 가능</t>
  </si>
  <si>
    <t>[일반/입점/온라인] 30% 정률 할인 / 최대 15,000원</t>
  </si>
  <si>
    <t>[더블포인트/통합멤버십] 포인트 제외 결제금액 기준 6% 적립</t>
  </si>
  <si>
    <t>[플러스/자사/통합멤버십] 3,000원 정액 할인</t>
  </si>
  <si>
    <t>[입점] 배송비 무료</t>
  </si>
  <si>
    <t>[플러스/입점/온라인] 30% 정률 할인 / 최대 15,000원</t>
  </si>
  <si>
    <t>[자사] 배송비 무료</t>
  </si>
  <si>
    <t>[플러스/자사/회원] 1,000원 정액 할인</t>
  </si>
  <si>
    <t>[자사] 품절보상 / 20% 정률 할인 / 1개 단품만 적용 가능</t>
  </si>
  <si>
    <t>[일반/자사/온라인] 20% 정률 할인(최대금액 제한없음)</t>
  </si>
  <si>
    <t/>
  </si>
  <si>
    <t>[입점] 반품배송비 무료</t>
  </si>
  <si>
    <t>A12345679</t>
  </si>
  <si>
    <t>A12345680</t>
  </si>
  <si>
    <t>A12345681</t>
  </si>
  <si>
    <t>A12345682</t>
  </si>
  <si>
    <t>A12345683</t>
  </si>
  <si>
    <t>A12345684</t>
  </si>
  <si>
    <t>A12345685</t>
  </si>
  <si>
    <t>A12345686</t>
  </si>
  <si>
    <t>A12345687</t>
  </si>
  <si>
    <t>A12345688</t>
  </si>
  <si>
    <t>A12345689</t>
  </si>
  <si>
    <t>A12345690</t>
  </si>
  <si>
    <t>A12345691</t>
  </si>
  <si>
    <t>A12345692</t>
  </si>
  <si>
    <t>A12345693</t>
  </si>
  <si>
    <t>A12345694</t>
  </si>
  <si>
    <t>A12345695</t>
  </si>
  <si>
    <t>A12345696</t>
  </si>
  <si>
    <t>A12345697</t>
  </si>
  <si>
    <t>유료 옵션</t>
    <phoneticPr fontId="3" type="noConversion"/>
  </si>
  <si>
    <t>제휴사 할인쿠폰</t>
  </si>
  <si>
    <t>박지숙</t>
    <phoneticPr fontId="3" type="noConversion"/>
  </si>
  <si>
    <t>5차 검토사항 보완/수정, 테스트Data 추가 작성</t>
    <phoneticPr fontId="3" type="noConversion"/>
  </si>
  <si>
    <t>VD20000001</t>
  </si>
  <si>
    <t>VD20000002</t>
  </si>
  <si>
    <t>VD20000003</t>
  </si>
  <si>
    <t>입점사ID</t>
    <phoneticPr fontId="3" type="noConversion"/>
  </si>
  <si>
    <t>입점사ID</t>
    <phoneticPr fontId="3" type="noConversion"/>
  </si>
  <si>
    <t>[비회원 제외] 상품 사은품_사은품명(사은품번호)</t>
  </si>
  <si>
    <t>5,000원 정액 할인</t>
  </si>
  <si>
    <t>[플러스/자사/온라인] 20% 정률 할인 / 최대금액 제한없음</t>
  </si>
  <si>
    <t>[플러스/입점/임직원] 5,000원 정액 할인</t>
  </si>
  <si>
    <t>[자사] 품절보상 / 20% 정률 할인 / 상품갯수 제한 없음</t>
  </si>
  <si>
    <t>배송</t>
    <phoneticPr fontId="3" type="noConversion"/>
  </si>
  <si>
    <t>옵션
추가금액</t>
  </si>
  <si>
    <t>N</t>
  </si>
  <si>
    <t>Y</t>
  </si>
  <si>
    <t>옵션포함 임직원가</t>
    <phoneticPr fontId="3" type="noConversion"/>
  </si>
  <si>
    <t>A12345678</t>
  </si>
  <si>
    <t>주문 클레임</t>
    <phoneticPr fontId="3" type="noConversion"/>
  </si>
  <si>
    <t>AS</t>
    <phoneticPr fontId="3" type="noConversion"/>
  </si>
  <si>
    <t>더블포인트쿠폰</t>
  </si>
  <si>
    <t>무료반품쿠폰</t>
  </si>
  <si>
    <t>무료교환쿠폰</t>
  </si>
  <si>
    <t>[자사] 교환배송비 무료</t>
  </si>
  <si>
    <t>편의점</t>
  </si>
  <si>
    <t>픽업배송</t>
  </si>
  <si>
    <t>3만원 이상</t>
  </si>
  <si>
    <t>카카오페이</t>
  </si>
  <si>
    <t>휴대폰 결제</t>
  </si>
  <si>
    <t>네이버페이</t>
  </si>
  <si>
    <t>무통장 입금</t>
  </si>
  <si>
    <t>휴대폰결제</t>
  </si>
  <si>
    <t>시나리오ID</t>
    <phoneticPr fontId="25" type="noConversion"/>
  </si>
  <si>
    <t>No.</t>
  </si>
  <si>
    <t>YYYY-MM-DD ~ YYYY-MM-DD</t>
  </si>
  <si>
    <t>3,000원 정액 할인</t>
  </si>
  <si>
    <t>기간한정 특가</t>
  </si>
  <si>
    <t>프로모션 기간 내 테스트</t>
  </si>
  <si>
    <t>프로모션 기간 경과 후 테스트</t>
  </si>
  <si>
    <t>2족 이상 50% (1+1)</t>
  </si>
  <si>
    <t>2족 10%, 3족 20%, 4족 이상 30%</t>
  </si>
  <si>
    <t>2족 이상 50%</t>
  </si>
  <si>
    <t>상품 사은품 지급</t>
  </si>
  <si>
    <t>사은품(상품번호) 지급</t>
  </si>
  <si>
    <t>사은품 재고 있는 경우</t>
  </si>
  <si>
    <t>사은품 재고 없는 경우</t>
  </si>
  <si>
    <t>20% 정률 할인 / 최대금액 제한없음</t>
  </si>
  <si>
    <t>30% 정률 할인 / 최대 15,000원</t>
  </si>
  <si>
    <t>5% 정률 할인 / 최대 5,000원</t>
  </si>
  <si>
    <t>1,000원 정액 할인</t>
  </si>
  <si>
    <t>포인트 제외 결제금액 기준 6% 적립</t>
  </si>
  <si>
    <t>배송비 무료</t>
  </si>
  <si>
    <t>교환배송비 무료</t>
  </si>
  <si>
    <t>[입점] 교환배송비 무료</t>
  </si>
  <si>
    <t>[자사] 반품배송비 무료</t>
  </si>
  <si>
    <t>반품배송비 무료</t>
  </si>
  <si>
    <t>20% 정률 할인 / 1개 단품만 적용 가능</t>
  </si>
  <si>
    <t>20% 정률 할인 / 상품갯수 제한 없음</t>
  </si>
  <si>
    <t>6차 검토사항 보완/수정, AS 시나리오 추가</t>
    <phoneticPr fontId="3" type="noConversion"/>
  </si>
  <si>
    <t>통합테스트 시나리오 목록</t>
  </si>
  <si>
    <t>프로세스</t>
  </si>
  <si>
    <t>시나리오명</t>
  </si>
  <si>
    <t xml:space="preserve"> AS 심의</t>
    <phoneticPr fontId="3" type="noConversion"/>
  </si>
  <si>
    <t>IT-AS-001</t>
    <phoneticPr fontId="3" type="noConversion"/>
  </si>
  <si>
    <t>AS 심의 정상 진행 프로세스</t>
    <phoneticPr fontId="3" type="noConversion"/>
  </si>
  <si>
    <t>IT-AS-002</t>
    <phoneticPr fontId="3" type="noConversion"/>
  </si>
  <si>
    <t>AS 심의 신청 자동 취소</t>
    <phoneticPr fontId="3" type="noConversion"/>
  </si>
  <si>
    <t>IT-AS-003</t>
  </si>
  <si>
    <t>AS 심의 신청 후 AS 수선 전환</t>
    <phoneticPr fontId="3" type="noConversion"/>
  </si>
  <si>
    <t>IT-AS-004</t>
  </si>
  <si>
    <t>AS 심의 불가 처리 후 교환 클레임 생성</t>
    <phoneticPr fontId="3" type="noConversion"/>
  </si>
  <si>
    <t>AS 수선</t>
    <phoneticPr fontId="3" type="noConversion"/>
  </si>
  <si>
    <t>IT-AS-005</t>
  </si>
  <si>
    <t>AS 수선 정상 진행 프로세스</t>
    <phoneticPr fontId="3" type="noConversion"/>
  </si>
  <si>
    <t>IT-AS-006</t>
  </si>
  <si>
    <t>AS 수선 신청 자동 취소</t>
  </si>
  <si>
    <t>IT-AS-007</t>
  </si>
  <si>
    <t>AS 수선 불가 처리 후 반품 클레임 생성</t>
    <phoneticPr fontId="3" type="noConversion"/>
  </si>
  <si>
    <t>ABC_04.설계_03.프로세스정의서_06.클레임 AS_20190430_v1.10.pptx</t>
    <phoneticPr fontId="3" type="noConversion"/>
  </si>
  <si>
    <t>1. AS 심의 정상 진행 프로세스 (IT-AS-001) : 1-1 -&gt; 2 -&gt; 3 -&gt; 4 -&gt; 5 -&gt; 6 -&gt; 7
2. AS 심의 신청 자동 취소 (IT-AS-002) : 1-1 -&gt; 2 -&gt; 3 -&gt; 8
3. AS 심의 신청 후 AS 수선 전환 (IT-AS-003) : 1-1 -&gt; 2 -&gt; 3 -&gt; 4 -&gt; 5 -&gt; 9 -&gt; 10 -&gt; 6 -&gt; 7 
4. AS 심의 불가 처리 후 교환 클레임 생성 (IT-AS-004) : 1-1 -&gt; 2 -&gt; 3 -&gt; 4 -&gt; 5 -&gt; 11 -&gt; 12
5. AS 수선 정상 진행 프로세스 (IT-AS-005) : 1-2 -&gt; 2 -&gt; 3 -&gt; 4 -&gt; 5 -&gt; 9 -&gt; 10 -&gt; 6 -&gt; 7 
6. AS 수선 신청 자동 취소 (IT-AS-006) : 1-2 -&gt; 2 -&gt; 3 -&gt; 8
7. AS 수선 불가 처리 후 반품 클레임 생성 (IT-AS-007) : 1-2 -&gt; 2 -&gt; 3 -&gt; 4 -&gt; 5 -&gt; 11 -&gt; 12</t>
    <phoneticPr fontId="3" type="noConversion"/>
  </si>
  <si>
    <t>AS 신청을 위한 1년 이내 주문번호 7개, 주문회원 ID/Password, AS 접수/처리 가능한 BO ID/Password</t>
    <phoneticPr fontId="3" type="noConversion"/>
  </si>
  <si>
    <t>A-RT</t>
    <phoneticPr fontId="3" type="noConversion"/>
  </si>
  <si>
    <t>IT-AS-001-001</t>
    <phoneticPr fontId="3" type="noConversion"/>
  </si>
  <si>
    <t>FO</t>
    <phoneticPr fontId="3" type="noConversion"/>
  </si>
  <si>
    <t>중</t>
    <phoneticPr fontId="3" type="noConversion"/>
  </si>
  <si>
    <t>AS 심의 신청</t>
    <phoneticPr fontId="3" type="noConversion"/>
  </si>
  <si>
    <t>1. PC Front 로그인
2. 마이페이지 &gt; 쇼핑내역 &gt; 반품/교환/AS  메뉴로 이동
3. AS신청 탭에서 AS 신청할 주문번호 선택
4. '심의' AS 로 선택한 후 관련 입력항목 등록 후 '신청' 버튼 클릭</t>
    <phoneticPr fontId="3" type="noConversion"/>
  </si>
  <si>
    <t xml:space="preserve">1. ID/Password : 
3. 주문번호 : </t>
    <phoneticPr fontId="3" type="noConversion"/>
  </si>
  <si>
    <t xml:space="preserve">필수항목 모두 입력시, "신청이 완료되었습니다." Alert 노출 후 신청내역 화면으로 전환되고 AS 접수번호가 노출됨.
AS 접수번호 : </t>
    <phoneticPr fontId="3" type="noConversion"/>
  </si>
  <si>
    <t>IT-AS-001-002</t>
    <phoneticPr fontId="3" type="noConversion"/>
  </si>
  <si>
    <t>AS 심의 신청 내용 확인 및 수거지시</t>
    <phoneticPr fontId="3" type="noConversion"/>
  </si>
  <si>
    <t>1. BO 로그인
2. 주문관리 &gt; 클레임관리 &gt; AS관리 메뉴로 이동
3. 'IT-AS-001-001'에서 신청한 AS 접수번호 검색 및 선택
4. AS 내역 확인 후 '수거지시' 버튼 클릭</t>
    <phoneticPr fontId="3" type="noConversion"/>
  </si>
  <si>
    <t xml:space="preserve">1. ID/Password : 
3. AS 접수번호 : </t>
    <phoneticPr fontId="3" type="noConversion"/>
  </si>
  <si>
    <t>"AS 상품의 수거지시가 완료되었습니다" Alert 노출 후 AS 진행 상태가 '수거지시'로 조회됨.</t>
    <phoneticPr fontId="3" type="noConversion"/>
  </si>
  <si>
    <t>IT-AS-001-003</t>
    <phoneticPr fontId="3" type="noConversion"/>
  </si>
  <si>
    <t>AS 상품 수령</t>
    <phoneticPr fontId="3" type="noConversion"/>
  </si>
  <si>
    <t>0. BO 로그인 상태 유지
1. '상품 수령' 버튼 클릭</t>
    <phoneticPr fontId="3" type="noConversion"/>
  </si>
  <si>
    <t>"AS 상품이 수령 완료되었습니다" Alert 노출 후 AS 진행 상태가 '수령완료'로 조회됨.</t>
    <phoneticPr fontId="3" type="noConversion"/>
  </si>
  <si>
    <t>IT-AS-001-004</t>
    <phoneticPr fontId="3" type="noConversion"/>
  </si>
  <si>
    <t>AS 상품 심의 완료</t>
    <phoneticPr fontId="3" type="noConversion"/>
  </si>
  <si>
    <t>0. BO 로그인 상태 유지
1. 심의 결과를 입력하고, '심의완료' 버튼 클릭</t>
    <phoneticPr fontId="3" type="noConversion"/>
  </si>
  <si>
    <t>"AS 상품이 심의 완료되었습니다" Alert 노출 후 AS 진행 상태가 '심의완료'로 조회됨.</t>
    <phoneticPr fontId="3" type="noConversion"/>
  </si>
  <si>
    <t>IT-AS-001-005</t>
    <phoneticPr fontId="3" type="noConversion"/>
  </si>
  <si>
    <t>AS 상품 반송 처리</t>
    <phoneticPr fontId="3" type="noConversion"/>
  </si>
  <si>
    <t>0. BO 로그인 상태 유지
1. 고객 협의 결과를 입력하고, '반송' 버튼 클릭</t>
    <phoneticPr fontId="3" type="noConversion"/>
  </si>
  <si>
    <t>"AS 상품이 반송 처리되었습니다" Alert 노출. 이후 송장번호가 입력되면, AS 진행 상태가 '배송중'으로 조회됨.</t>
    <phoneticPr fontId="3" type="noConversion"/>
  </si>
  <si>
    <t>IT-AS-001-006</t>
    <phoneticPr fontId="3" type="noConversion"/>
  </si>
  <si>
    <t>하</t>
    <phoneticPr fontId="3" type="noConversion"/>
  </si>
  <si>
    <t>AS 완료</t>
    <phoneticPr fontId="3" type="noConversion"/>
  </si>
  <si>
    <t>1. PC Front 로그인
2. 마이페이지 &gt; 쇼핑내역 &gt; 반품/교환/AS  메뉴로 이동
3. AS현황 탭에서 신청한 AS내역 조회</t>
    <phoneticPr fontId="3" type="noConversion"/>
  </si>
  <si>
    <t xml:space="preserve">AS 진행 상태가 'AS 배송중'으로 조회됨.
AS 상품 수령 후에는 'AS완료'로 조회됨. </t>
    <phoneticPr fontId="3" type="noConversion"/>
  </si>
  <si>
    <t>IT-AS-002-001</t>
    <phoneticPr fontId="3" type="noConversion"/>
  </si>
  <si>
    <t>IT-AS-002-002</t>
    <phoneticPr fontId="3" type="noConversion"/>
  </si>
  <si>
    <t>1. BO 로그인
2. 주문관리 &gt; 클레임관리 &gt; AS관리 메뉴로 이동
3. 'IT-AS-002-001'에서 신청한 AS 접수번호 검색 및 선택
4. AS 내역 확인 후 '수거지시' 버튼 클릭</t>
    <phoneticPr fontId="3" type="noConversion"/>
  </si>
  <si>
    <t>IT-AS-002-003</t>
    <phoneticPr fontId="3" type="noConversion"/>
  </si>
  <si>
    <t>AS 접수 자동 취소</t>
    <phoneticPr fontId="3" type="noConversion"/>
  </si>
  <si>
    <t>0.  'IT-AS-002-001'에서 AS 신청 이후 15일 내에 AS 상품 발송 안함.
1. PC Front 로그인
2. 마이페이지 &gt; 쇼핑내역 &gt; 반품/교환/AS  메뉴로 이동
3. AS현황 탭에서 신청한 AS내역 조회</t>
    <phoneticPr fontId="3" type="noConversion"/>
  </si>
  <si>
    <t xml:space="preserve">
1. ID/Password : 
3. AS 접수번호 : </t>
    <phoneticPr fontId="3" type="noConversion"/>
  </si>
  <si>
    <t>AS 진행 상태가 'AS접수취소'로 조회됨.</t>
    <phoneticPr fontId="3" type="noConversion"/>
  </si>
  <si>
    <t>IT-AS-003-001</t>
    <phoneticPr fontId="3" type="noConversion"/>
  </si>
  <si>
    <t>IT-AS-003-002</t>
    <phoneticPr fontId="3" type="noConversion"/>
  </si>
  <si>
    <t>IT-AS-003-003</t>
    <phoneticPr fontId="3" type="noConversion"/>
  </si>
  <si>
    <t>IT-AS-003-004</t>
    <phoneticPr fontId="3" type="noConversion"/>
  </si>
  <si>
    <t>AS 상품 수선 완료</t>
    <phoneticPr fontId="3" type="noConversion"/>
  </si>
  <si>
    <t>0. BO 로그인 상태 유지
1. AS 유형을 '수선'으로 변경하고, 수선 결과 입력 후 '수선완료' 버튼 클릭</t>
    <phoneticPr fontId="3" type="noConversion"/>
  </si>
  <si>
    <t>"AS 상품이 수선 완료되었습니다" Alert 노출 후 AS 진행 상태가 '수선완료'로 조회됨.</t>
    <phoneticPr fontId="3" type="noConversion"/>
  </si>
  <si>
    <t>IT-AS-003-005</t>
    <phoneticPr fontId="3" type="noConversion"/>
  </si>
  <si>
    <t>AS 비용 청구</t>
    <phoneticPr fontId="3" type="noConversion"/>
  </si>
  <si>
    <t>0. BO 로그인 상태 유지
1. AS 수선비와 배송비 등 비용을 입력하고, '비용결제요청' 버튼 클릭</t>
    <phoneticPr fontId="3" type="noConversion"/>
  </si>
  <si>
    <t>"AS 비용 결제요청이 완료되었습니다" Alert 노출 후 AS 진행 상태가 '비용결제요청'으로 조회됨.</t>
    <phoneticPr fontId="3" type="noConversion"/>
  </si>
  <si>
    <t>IT-AS-003-006</t>
    <phoneticPr fontId="3" type="noConversion"/>
  </si>
  <si>
    <t>상</t>
    <phoneticPr fontId="3" type="noConversion"/>
  </si>
  <si>
    <t>AS 비용 결제</t>
    <phoneticPr fontId="3" type="noConversion"/>
  </si>
  <si>
    <t>0.  'IT-AS-003-005'에서 요청한 비용을 AS 입금 대표계좌로 입금
1. PC Front 로그인
2. 마이페이지 &gt; 쇼핑내역 &gt; 반품/교환/AS  메뉴로 이동
3. AS현황 탭에서 신청한 AS내역 조회</t>
    <phoneticPr fontId="3" type="noConversion"/>
  </si>
  <si>
    <t>AS 진행 상태가 '비용결제완료'로 조회됨.</t>
    <phoneticPr fontId="3" type="noConversion"/>
  </si>
  <si>
    <t>IT-AS-003-007</t>
    <phoneticPr fontId="3" type="noConversion"/>
  </si>
  <si>
    <t>AS 상품 배송 처리</t>
    <phoneticPr fontId="3" type="noConversion"/>
  </si>
  <si>
    <t>0. BO 로그인 상태 유지
1. AS 진행 상태가 '비용결제완료' 인지 확인 후, '발송' 버튼 클릭</t>
    <phoneticPr fontId="3" type="noConversion"/>
  </si>
  <si>
    <t>"AS 상품이 발송 처리되었습니다" Alert 노출. 이후 송장번호가 입력되면, AS 진행 상태가 '배송중'으로 조회됨.</t>
    <phoneticPr fontId="3" type="noConversion"/>
  </si>
  <si>
    <t>IT-AS-003-008</t>
    <phoneticPr fontId="3" type="noConversion"/>
  </si>
  <si>
    <t>IT-AS-004-001</t>
    <phoneticPr fontId="3" type="noConversion"/>
  </si>
  <si>
    <t>IT-AS-004-002</t>
    <phoneticPr fontId="3" type="noConversion"/>
  </si>
  <si>
    <t>1. BO 로그인
2. 주문관리 &gt; 클레임관리 &gt; AS관리 메뉴로 이동
3. 'IT-AS-004-001'에서 신청한 AS 접수번호 검색 및 선택
4. AS 내역 확인 후 '수거지시' 버튼 클릭</t>
    <phoneticPr fontId="3" type="noConversion"/>
  </si>
  <si>
    <t>IT-AS-004-003</t>
    <phoneticPr fontId="3" type="noConversion"/>
  </si>
  <si>
    <t>IT-AS-004-004</t>
    <phoneticPr fontId="3" type="noConversion"/>
  </si>
  <si>
    <t>IT-AS-004-005</t>
    <phoneticPr fontId="3" type="noConversion"/>
  </si>
  <si>
    <t>AS 상품 교환 처리</t>
    <phoneticPr fontId="3" type="noConversion"/>
  </si>
  <si>
    <t>0. BO 로그인 상태 유지
1. 고객 협의 결과를 입력하고, 'AS불가 &gt; 교환 접수' 선택 후 '저장' 버튼 클릭</t>
    <phoneticPr fontId="3" type="noConversion"/>
  </si>
  <si>
    <t>"AS 상품이 교환 접수되었습니다" Alert 노출 후, AS 진행 상태가 'AS불가'로 조회됨.</t>
    <phoneticPr fontId="3" type="noConversion"/>
  </si>
  <si>
    <t>IT-AS-004-006</t>
    <phoneticPr fontId="3" type="noConversion"/>
  </si>
  <si>
    <t>AS불가 후 교환 클레임 생성 확인</t>
    <phoneticPr fontId="3" type="noConversion"/>
  </si>
  <si>
    <t>1. PC Front 로그인
2. 마이페이지 &gt; 쇼핑내역 &gt; 반품/교환/AS  메뉴로 이동
3. AS현황 탭에서 신청한 AS내역 조회
4. 교환현황 탭에서 교환 클레임 내역 확인</t>
    <phoneticPr fontId="3" type="noConversion"/>
  </si>
  <si>
    <t>3. AS현황 탭에서 AS 진행 상태가 'AS불가'로 조회됨. 
4. 교환현황 탭에서 AS 신청 상품에 대한 교환 클레임 생성 내역이 조회됨.</t>
    <phoneticPr fontId="3" type="noConversion"/>
  </si>
  <si>
    <t>OTS</t>
    <phoneticPr fontId="3" type="noConversion"/>
  </si>
  <si>
    <t>IT-AS-005-001</t>
    <phoneticPr fontId="3" type="noConversion"/>
  </si>
  <si>
    <t>AS 수선 신청</t>
    <phoneticPr fontId="3" type="noConversion"/>
  </si>
  <si>
    <t>1. Mobile Front 로그인
2. 마이페이지 &gt; 쇼핑내역 &gt; 반품/교환/AS  메뉴로 이동
3. AS신청 탭에서 AS 신청할 주문번호 선택
4. '수선' AS 로 선택한 후 관련 입력항목 등록 및 왕복배송비를 신용카드로 결제하고 '신청' 버튼 클릭</t>
    <phoneticPr fontId="3" type="noConversion"/>
  </si>
  <si>
    <t>IT-AS-005-002</t>
    <phoneticPr fontId="3" type="noConversion"/>
  </si>
  <si>
    <t>AS 수선 신청 내용 확인 및 수거지시</t>
    <phoneticPr fontId="3" type="noConversion"/>
  </si>
  <si>
    <t>1. BO 로그인
2. 주문관리 &gt; 클레임관리 &gt; AS관리 메뉴로 이동
3. 'IT-AS-005-001'에서 신청한 AS 접수번호 검색 및 선택
4. AS 내역 확인 후 '수거지시' 버튼 클릭</t>
    <phoneticPr fontId="3" type="noConversion"/>
  </si>
  <si>
    <t>IT-AS-005-003</t>
    <phoneticPr fontId="3" type="noConversion"/>
  </si>
  <si>
    <t>IT-AS-005-004</t>
    <phoneticPr fontId="3" type="noConversion"/>
  </si>
  <si>
    <t>0. BO 로그인 상태 유지
1. 수선 결과를 입력하고, '수선완료' 버튼 클릭</t>
    <phoneticPr fontId="3" type="noConversion"/>
  </si>
  <si>
    <t>IT-AS-005-005</t>
    <phoneticPr fontId="3" type="noConversion"/>
  </si>
  <si>
    <t>0. BO 로그인 상태 유지
1. AS 수선비를 입력하고, '비용결제요청' 버튼 클릭</t>
    <phoneticPr fontId="3" type="noConversion"/>
  </si>
  <si>
    <t>IT-AS-005-006</t>
    <phoneticPr fontId="3" type="noConversion"/>
  </si>
  <si>
    <t>0.  'IT-AS-005-005'에서 요청한 비용을 AS 입금 대표계좌로 입금
1. Mobile Front 로그인
2. 마이페이지 &gt; 쇼핑내역 &gt; 반품/교환/AS  메뉴로 이동
3. AS현황 탭에서 신청한 AS내역 조회</t>
    <phoneticPr fontId="3" type="noConversion"/>
  </si>
  <si>
    <t>IT-AS-005-007</t>
    <phoneticPr fontId="3" type="noConversion"/>
  </si>
  <si>
    <t>IT-AS-005-008</t>
    <phoneticPr fontId="3" type="noConversion"/>
  </si>
  <si>
    <t>1. Mobile Front 로그인
2. 마이페이지 &gt; 쇼핑내역 &gt; 반품/교환/AS  메뉴로 이동
3. AS현황 탭에서 신청한 AS내역 조회</t>
    <phoneticPr fontId="3" type="noConversion"/>
  </si>
  <si>
    <t>IT-AS-006-001</t>
    <phoneticPr fontId="3" type="noConversion"/>
  </si>
  <si>
    <t>AS 수선 신청 자동 취소</t>
    <phoneticPr fontId="3" type="noConversion"/>
  </si>
  <si>
    <t>1. Mobile Front 로그인
2. 마이페이지 &gt; 쇼핑내역 &gt; 반품/교환/AS  메뉴로 이동
3. AS신청 탭에서 AS 신청할 주문번호 선택
4. '수선' AS 로 선택한 후 관련 입력항목 등록 및 왕복배송비를 실시간계좌이체로 결제하고 '신청' 버튼 클릭</t>
    <phoneticPr fontId="3" type="noConversion"/>
  </si>
  <si>
    <t>IT-AS-006-002</t>
    <phoneticPr fontId="3" type="noConversion"/>
  </si>
  <si>
    <t>1. BO 로그인
2. 주문관리 &gt; 클레임관리 &gt; AS관리 메뉴로 이동
3. 'IT-AS-006-001'에서 신청한 AS 접수번호 검색 및 선택
4. AS 내역 확인 후 '수거지시' 버튼 클릭</t>
    <phoneticPr fontId="3" type="noConversion"/>
  </si>
  <si>
    <t>IT-AS-006-003</t>
    <phoneticPr fontId="3" type="noConversion"/>
  </si>
  <si>
    <t>0.  'IT-AS-006-001'에서 AS 신청 이후 15일 내에 AS 상품 발송 안함.
1. Mobile Front 로그인
2. 마이페이지 &gt; 쇼핑내역 &gt; 반품/교환/AS  메뉴로 이동
3. AS현황 탭에서 신청한 AS내역 조회</t>
    <phoneticPr fontId="3" type="noConversion"/>
  </si>
  <si>
    <t>AS 진행 상태가 'AS접수취소'로 조회됨.
'IT-AS-006-001'에서 결제한 배송비가 환불됨.</t>
    <phoneticPr fontId="3" type="noConversion"/>
  </si>
  <si>
    <t>IT-AS-007-001</t>
    <phoneticPr fontId="3" type="noConversion"/>
  </si>
  <si>
    <t>AS 수선 신청</t>
  </si>
  <si>
    <t>IT-AS-007-002</t>
    <phoneticPr fontId="3" type="noConversion"/>
  </si>
  <si>
    <t>AS 수선 신청 내용 확인 및 수거지시</t>
  </si>
  <si>
    <t>1. BO 로그인
2. 주문관리 &gt; 클레임관리 &gt; AS관리 메뉴로 이동
3. 'IT-AS-007-001'에서 신청한 AS 접수번호 검색 및 선택
4. AS 내역 확인 후 '수거지시' 버튼 클릭</t>
    <phoneticPr fontId="3" type="noConversion"/>
  </si>
  <si>
    <t>IT-AS-007-003</t>
    <phoneticPr fontId="3" type="noConversion"/>
  </si>
  <si>
    <t>IT-AS-007-004</t>
    <phoneticPr fontId="3" type="noConversion"/>
  </si>
  <si>
    <t>AS 상품 수선 완료</t>
  </si>
  <si>
    <t>0. BO 로그인 상태 유지
1. 수선 결과를 입력하고, '수선완료' 버튼 클릭</t>
  </si>
  <si>
    <t>"AS 상품이 수선 완료되었습니다" Alert 노출 후 AS 진행 상태가 '수선완료'로 조회됨.</t>
  </si>
  <si>
    <t>IT-AS-007-005</t>
    <phoneticPr fontId="3" type="noConversion"/>
  </si>
  <si>
    <t>AS 상품 반품 처리</t>
  </si>
  <si>
    <t>0. BO 로그인 상태 유지
1. 고객 협의 결과를 입력하고, 'AS불가 &gt; 반품 접수' 선택 후 '저장' 버튼 클릭</t>
  </si>
  <si>
    <t>"AS 상품이 반품 접수되었습니다" Alert 노출 후, AS 진행 상태가 'AS불가'로 조회됨.</t>
  </si>
  <si>
    <t>IT-AS-007-006</t>
    <phoneticPr fontId="3" type="noConversion"/>
  </si>
  <si>
    <t>AS불가 후 반품 클레임 생성 확인</t>
  </si>
  <si>
    <t>1. Mobile Front 로그인
2. 마이페이지 &gt; 쇼핑내역 &gt; 반품/교환/AS  메뉴로 이동
3. AS현황 탭에서 신청한 AS내역 조회
4. 반품현황 탭에서 반품 클레임 내역 확인</t>
    <phoneticPr fontId="3" type="noConversion"/>
  </si>
  <si>
    <t>3. AS현황 탭에서 AS 진행 상태가 'AS불가'로 조회됨. 
4. 반품현황 탭에서 AS 신청 상품에 대한 반품 클레임 생성 내역이 조회됨.</t>
  </si>
  <si>
    <t>●</t>
    <phoneticPr fontId="3" type="noConversion"/>
  </si>
  <si>
    <t>O</t>
    <phoneticPr fontId="3" type="noConversion"/>
  </si>
  <si>
    <t>고객센터</t>
    <phoneticPr fontId="3" type="noConversion"/>
  </si>
  <si>
    <t>자사</t>
    <phoneticPr fontId="3" type="noConversion"/>
  </si>
  <si>
    <t>프론트</t>
    <phoneticPr fontId="3" type="noConversion"/>
  </si>
  <si>
    <t>부분교환</t>
    <phoneticPr fontId="3" type="noConversion"/>
  </si>
  <si>
    <t>환불금액 차감</t>
    <phoneticPr fontId="3" type="noConversion"/>
  </si>
  <si>
    <t>ERP 상품코드</t>
    <phoneticPr fontId="3" type="noConversion"/>
  </si>
  <si>
    <t>판매자 상품코드</t>
    <phoneticPr fontId="3" type="noConversion"/>
  </si>
  <si>
    <t>공급 방식</t>
    <phoneticPr fontId="3" type="noConversion"/>
  </si>
  <si>
    <t>판매 채널</t>
    <phoneticPr fontId="3" type="noConversion"/>
  </si>
  <si>
    <t>입점업체명</t>
    <phoneticPr fontId="3" type="noConversion"/>
  </si>
  <si>
    <t>입점사 코드(ERP)</t>
    <phoneticPr fontId="3" type="noConversion"/>
  </si>
  <si>
    <t>상품 속성</t>
    <phoneticPr fontId="3" type="noConversion"/>
  </si>
  <si>
    <t>예약상품</t>
    <phoneticPr fontId="3" type="noConversion"/>
  </si>
  <si>
    <t>임직원 할인 제외</t>
    <phoneticPr fontId="3" type="noConversion"/>
  </si>
  <si>
    <t>임직원 할인률</t>
    <phoneticPr fontId="3" type="noConversion"/>
  </si>
  <si>
    <t>임직원가</t>
    <phoneticPr fontId="3" type="noConversion"/>
  </si>
  <si>
    <t>유료 옵션명</t>
    <phoneticPr fontId="3" type="noConversion"/>
  </si>
  <si>
    <t>케이스 ID</t>
    <phoneticPr fontId="3" type="noConversion"/>
  </si>
  <si>
    <t>0000001</t>
    <phoneticPr fontId="3" type="noConversion"/>
  </si>
  <si>
    <t>0000002</t>
    <phoneticPr fontId="3" type="noConversion"/>
  </si>
  <si>
    <t>0000003</t>
    <phoneticPr fontId="3" type="noConversion"/>
  </si>
  <si>
    <t>VD0001</t>
    <phoneticPr fontId="3" type="noConversion"/>
  </si>
  <si>
    <t>VD0003</t>
    <phoneticPr fontId="3" type="noConversion"/>
  </si>
  <si>
    <t>VD0002</t>
    <phoneticPr fontId="3" type="noConversion"/>
  </si>
  <si>
    <t>0000004</t>
    <phoneticPr fontId="3" type="noConversion"/>
  </si>
  <si>
    <t>0000005</t>
    <phoneticPr fontId="3" type="noConversion"/>
  </si>
  <si>
    <t>0000006</t>
    <phoneticPr fontId="3" type="noConversion"/>
  </si>
  <si>
    <t>0000007</t>
    <phoneticPr fontId="3" type="noConversion"/>
  </si>
  <si>
    <t>0000008</t>
    <phoneticPr fontId="3" type="noConversion"/>
  </si>
  <si>
    <t>0000009</t>
    <phoneticPr fontId="3" type="noConversion"/>
  </si>
  <si>
    <t>0000010</t>
    <phoneticPr fontId="3" type="noConversion"/>
  </si>
  <si>
    <t>0000011</t>
    <phoneticPr fontId="3" type="noConversion"/>
  </si>
  <si>
    <t>0000012</t>
    <phoneticPr fontId="3" type="noConversion"/>
  </si>
  <si>
    <t>0000013</t>
    <phoneticPr fontId="3" type="noConversion"/>
  </si>
  <si>
    <t>0000014</t>
    <phoneticPr fontId="3" type="noConversion"/>
  </si>
  <si>
    <t>0000015</t>
    <phoneticPr fontId="3" type="noConversion"/>
  </si>
  <si>
    <t>0000016</t>
    <phoneticPr fontId="3" type="noConversion"/>
  </si>
  <si>
    <t>0000017</t>
    <phoneticPr fontId="3" type="noConversion"/>
  </si>
  <si>
    <t>0000018</t>
    <phoneticPr fontId="3" type="noConversion"/>
  </si>
  <si>
    <t>0000019</t>
    <phoneticPr fontId="3" type="noConversion"/>
  </si>
  <si>
    <t>0000020</t>
    <phoneticPr fontId="3" type="noConversion"/>
  </si>
  <si>
    <t>0000021</t>
    <phoneticPr fontId="3" type="noConversion"/>
  </si>
  <si>
    <t>0000022</t>
    <phoneticPr fontId="3" type="noConversion"/>
  </si>
  <si>
    <t>0000023</t>
    <phoneticPr fontId="3" type="noConversion"/>
  </si>
  <si>
    <t>0000024</t>
    <phoneticPr fontId="3" type="noConversion"/>
  </si>
  <si>
    <t>0000025</t>
    <phoneticPr fontId="3" type="noConversion"/>
  </si>
  <si>
    <t>입점사1</t>
    <phoneticPr fontId="3" type="noConversion"/>
  </si>
  <si>
    <t>입점사3</t>
    <phoneticPr fontId="3" type="noConversion"/>
  </si>
  <si>
    <t>입점사2</t>
    <phoneticPr fontId="3" type="noConversion"/>
  </si>
  <si>
    <t>2000000001</t>
    <phoneticPr fontId="3" type="noConversion"/>
  </si>
  <si>
    <t>2000000005</t>
  </si>
  <si>
    <t>1000000001</t>
    <phoneticPr fontId="3" type="noConversion"/>
  </si>
  <si>
    <t>1000000002</t>
    <phoneticPr fontId="3" type="noConversion"/>
  </si>
  <si>
    <t>1000000003</t>
    <phoneticPr fontId="3" type="noConversion"/>
  </si>
  <si>
    <t>1000000004</t>
    <phoneticPr fontId="3" type="noConversion"/>
  </si>
  <si>
    <t>2000000002</t>
    <phoneticPr fontId="3" type="noConversion"/>
  </si>
  <si>
    <t>2000000003</t>
    <phoneticPr fontId="3" type="noConversion"/>
  </si>
  <si>
    <t>2000000004</t>
  </si>
  <si>
    <t>2000000004</t>
    <phoneticPr fontId="3" type="noConversion"/>
  </si>
  <si>
    <t>2000000005</t>
    <phoneticPr fontId="3" type="noConversion"/>
  </si>
  <si>
    <t>2000000006</t>
    <phoneticPr fontId="3" type="noConversion"/>
  </si>
  <si>
    <t>2000000007</t>
    <phoneticPr fontId="3" type="noConversion"/>
  </si>
  <si>
    <t>2000000008</t>
  </si>
  <si>
    <t>2000000008</t>
    <phoneticPr fontId="3" type="noConversion"/>
  </si>
  <si>
    <t>2000000009</t>
    <phoneticPr fontId="3" type="noConversion"/>
  </si>
  <si>
    <t>2000000010</t>
  </si>
  <si>
    <t>2000000010</t>
    <phoneticPr fontId="3" type="noConversion"/>
  </si>
  <si>
    <t>2000000011</t>
  </si>
  <si>
    <t>2000000011</t>
    <phoneticPr fontId="3" type="noConversion"/>
  </si>
  <si>
    <t>2000000012</t>
  </si>
  <si>
    <t>2000000012</t>
    <phoneticPr fontId="3" type="noConversion"/>
  </si>
  <si>
    <t>2000000013</t>
  </si>
  <si>
    <t>2000000013</t>
    <phoneticPr fontId="3" type="noConversion"/>
  </si>
  <si>
    <t>2000000014</t>
    <phoneticPr fontId="3" type="noConversion"/>
  </si>
  <si>
    <t>2000000015</t>
    <phoneticPr fontId="3" type="noConversion"/>
  </si>
  <si>
    <t>2000000016</t>
    <phoneticPr fontId="3" type="noConversion"/>
  </si>
  <si>
    <t>2000000017</t>
    <phoneticPr fontId="3" type="noConversion"/>
  </si>
  <si>
    <t>2000000018</t>
    <phoneticPr fontId="3" type="noConversion"/>
  </si>
  <si>
    <t>2000000019</t>
  </si>
  <si>
    <t>2000000019</t>
    <phoneticPr fontId="3" type="noConversion"/>
  </si>
  <si>
    <t>2000000020</t>
  </si>
  <si>
    <t>2000000020</t>
    <phoneticPr fontId="3" type="noConversion"/>
  </si>
  <si>
    <t>2000000021</t>
    <phoneticPr fontId="3" type="noConversion"/>
  </si>
  <si>
    <t>2000000022</t>
    <phoneticPr fontId="3" type="noConversion"/>
  </si>
  <si>
    <t>2000000023</t>
    <phoneticPr fontId="3" type="noConversion"/>
  </si>
  <si>
    <t>2000000024</t>
    <phoneticPr fontId="3" type="noConversion"/>
  </si>
  <si>
    <t>2000000025</t>
    <phoneticPr fontId="3" type="noConversion"/>
  </si>
  <si>
    <t>2000000026</t>
    <phoneticPr fontId="3" type="noConversion"/>
  </si>
  <si>
    <t>2000000027</t>
    <phoneticPr fontId="3" type="noConversion"/>
  </si>
  <si>
    <t>2000000028</t>
    <phoneticPr fontId="3" type="noConversion"/>
  </si>
  <si>
    <t>2000000029</t>
    <phoneticPr fontId="3" type="noConversion"/>
  </si>
  <si>
    <t>2000000030</t>
    <phoneticPr fontId="3" type="noConversion"/>
  </si>
  <si>
    <t>VD0001_004</t>
  </si>
  <si>
    <t>VD0001_004</t>
    <phoneticPr fontId="3" type="noConversion"/>
  </si>
  <si>
    <t>VD0003_005</t>
  </si>
  <si>
    <t>VD0003_005</t>
    <phoneticPr fontId="3" type="noConversion"/>
  </si>
  <si>
    <t>VD0002_008</t>
  </si>
  <si>
    <t>VD0002_008</t>
    <phoneticPr fontId="3" type="noConversion"/>
  </si>
  <si>
    <t>VD0003_010</t>
  </si>
  <si>
    <t>VD0003_010</t>
    <phoneticPr fontId="3" type="noConversion"/>
  </si>
  <si>
    <t>VD0002_011</t>
  </si>
  <si>
    <t>VD0002_011</t>
    <phoneticPr fontId="3" type="noConversion"/>
  </si>
  <si>
    <t>VD0003_012</t>
  </si>
  <si>
    <t>VD0003_012</t>
    <phoneticPr fontId="3" type="noConversion"/>
  </si>
  <si>
    <t>VD0001_013</t>
  </si>
  <si>
    <t>VD0001_013</t>
    <phoneticPr fontId="3" type="noConversion"/>
  </si>
  <si>
    <t>VD0001_019</t>
  </si>
  <si>
    <t>VD0001_019</t>
    <phoneticPr fontId="3" type="noConversion"/>
  </si>
  <si>
    <t>VD0003_020</t>
  </si>
  <si>
    <t>VD0003_020</t>
    <phoneticPr fontId="3" type="noConversion"/>
  </si>
  <si>
    <t>출시 2주 미만</t>
    <phoneticPr fontId="3" type="noConversion"/>
  </si>
  <si>
    <t>유료옵션1</t>
    <phoneticPr fontId="3" type="noConversion"/>
  </si>
  <si>
    <t>유료옵션2</t>
    <phoneticPr fontId="3" type="noConversion"/>
  </si>
  <si>
    <t>수정정상가</t>
    <phoneticPr fontId="3" type="noConversion"/>
  </si>
  <si>
    <t>수정임직원가</t>
    <phoneticPr fontId="3" type="noConversion"/>
  </si>
  <si>
    <t>총 정상가</t>
    <phoneticPr fontId="3" type="noConversion"/>
  </si>
  <si>
    <t>소계</t>
    <phoneticPr fontId="3" type="noConversion"/>
  </si>
  <si>
    <t>프로모션 할인</t>
    <phoneticPr fontId="3" type="noConversion"/>
  </si>
  <si>
    <t>쿠폰할인</t>
    <phoneticPr fontId="3" type="noConversion"/>
  </si>
  <si>
    <t>쿠폰할인 합계</t>
    <phoneticPr fontId="3" type="noConversion"/>
  </si>
  <si>
    <t>결제예정금액</t>
    <phoneticPr fontId="3" type="noConversion"/>
  </si>
  <si>
    <t>온라인 상품코드</t>
    <phoneticPr fontId="3" type="noConversion"/>
  </si>
  <si>
    <t>프로모션 할인율</t>
    <phoneticPr fontId="3" type="noConversion"/>
  </si>
  <si>
    <t>쿠폰할인률</t>
    <phoneticPr fontId="3" type="noConversion"/>
  </si>
  <si>
    <t>배송비 합계</t>
    <phoneticPr fontId="3" type="noConversion"/>
  </si>
  <si>
    <t>클레임번호</t>
    <phoneticPr fontId="3" type="noConversion"/>
  </si>
  <si>
    <t>환불 금액</t>
    <phoneticPr fontId="3" type="noConversion"/>
  </si>
  <si>
    <t>총 환불 금액</t>
    <phoneticPr fontId="3" type="noConversion"/>
  </si>
  <si>
    <t xml:space="preserve"> 주 결제수단</t>
    <phoneticPr fontId="3" type="noConversion"/>
  </si>
  <si>
    <t>[임직원] 임직원 할인_50% 정률 할인</t>
    <phoneticPr fontId="3" type="noConversion"/>
  </si>
  <si>
    <t>50% 정률 할인</t>
    <phoneticPr fontId="3" type="noConversion"/>
  </si>
  <si>
    <t>[일반/입점/통합멤버십]5,000원 정액 할인</t>
    <phoneticPr fontId="3" type="noConversion"/>
  </si>
  <si>
    <t>[일반/자사/통합멤버십] 3,000원 정액 할인</t>
    <phoneticPr fontId="3" type="noConversion"/>
  </si>
  <si>
    <t>주문 배송비</t>
    <phoneticPr fontId="3" type="noConversion"/>
  </si>
  <si>
    <t>기준 결제금액</t>
    <phoneticPr fontId="3" type="noConversion"/>
  </si>
  <si>
    <t>배송비</t>
    <phoneticPr fontId="3" type="noConversion"/>
  </si>
  <si>
    <t>기준</t>
    <phoneticPr fontId="3" type="noConversion"/>
  </si>
  <si>
    <t>선불</t>
    <phoneticPr fontId="3" type="noConversion"/>
  </si>
  <si>
    <t>교환 배송비</t>
    <phoneticPr fontId="3" type="noConversion"/>
  </si>
  <si>
    <t>반품 배송비</t>
    <phoneticPr fontId="3" type="noConversion"/>
  </si>
  <si>
    <t>주문 배송 유료</t>
    <phoneticPr fontId="3" type="noConversion"/>
  </si>
  <si>
    <t>주문 배송 무료</t>
    <phoneticPr fontId="3" type="noConversion"/>
  </si>
  <si>
    <t>상품</t>
    <phoneticPr fontId="3" type="noConversion"/>
  </si>
  <si>
    <t>입점사 코드(ERP)</t>
    <phoneticPr fontId="3" type="noConversion"/>
  </si>
  <si>
    <t>VD0003</t>
    <phoneticPr fontId="3" type="noConversion"/>
  </si>
  <si>
    <t>VD0002</t>
    <phoneticPr fontId="3" type="noConversion"/>
  </si>
  <si>
    <t>O</t>
    <phoneticPr fontId="3" type="noConversion"/>
  </si>
  <si>
    <t>결제 금액</t>
    <phoneticPr fontId="3" type="noConversion"/>
  </si>
  <si>
    <t>실 결제 금액</t>
    <phoneticPr fontId="3" type="noConversion"/>
  </si>
  <si>
    <t>인수인계용 버전 Release</t>
    <phoneticPr fontId="3" type="noConversion"/>
  </si>
  <si>
    <t>프로모션
할인 합계</t>
    <phoneticPr fontId="3" type="noConversion"/>
  </si>
  <si>
    <t>실시간 계좌이체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</si>
</sst>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1" formatCode="_-* #,##0_-;\-* #,##0_-;_-* &quot;-&quot;_-;_-@_-"/>
    <numFmt numFmtId="176" formatCode="0.0"/>
    <numFmt numFmtId="177" formatCode="0.00_ "/>
    <numFmt numFmtId="178" formatCode="0_ "/>
    <numFmt numFmtId="179" formatCode="#,##0_ "/>
  </numFmts>
  <fonts count="43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8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indexed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A7D00"/>
      <name val="맑은 고딕"/>
      <family val="2"/>
      <charset val="129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9"/>
      <color theme="3" tint="0.79998168889431442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7030A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9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1" tint="0.499984740745262"/>
        <bgColor theme="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/>
      <bottom style="double">
        <color auto="1"/>
      </bottom>
      <diagonal/>
    </border>
  </borders>
  <cellStyleXfs count="75">
    <xf numFmtId="0" fontId="0" fillId="0" borderId="0">
      <alignment vertical="center"/>
    </xf>
    <xf numFmtId="0" fontId="1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2" fillId="0" borderId="0"/>
    <xf numFmtId="0" fontId="11" fillId="0" borderId="0">
      <alignment vertical="center"/>
    </xf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/>
    <xf numFmtId="0" fontId="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2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" fillId="7" borderId="15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70">
    <xf numFmtId="0" fontId="0" fillId="0" borderId="0" xfId="0">
      <alignment vertical="center"/>
    </xf>
    <xf numFmtId="0" fontId="13" fillId="0" borderId="0" xfId="41" applyFont="1" applyAlignment="1">
      <alignment vertical="center"/>
    </xf>
    <xf numFmtId="176" fontId="15" fillId="3" borderId="1" xfId="41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6" fontId="14" fillId="3" borderId="1" xfId="41" applyNumberFormat="1" applyFont="1" applyFill="1" applyBorder="1" applyAlignment="1">
      <alignment horizontal="center" vertical="center" wrapText="1"/>
    </xf>
    <xf numFmtId="0" fontId="15" fillId="3" borderId="1" xfId="41" applyFont="1" applyFill="1" applyBorder="1" applyAlignment="1">
      <alignment vertical="center"/>
    </xf>
    <xf numFmtId="55" fontId="15" fillId="3" borderId="1" xfId="62" quotePrefix="1" applyNumberFormat="1" applyFont="1" applyFill="1" applyBorder="1" applyAlignment="1">
      <alignment vertical="center"/>
    </xf>
    <xf numFmtId="14" fontId="15" fillId="3" borderId="1" xfId="41" quotePrefix="1" applyNumberFormat="1" applyFont="1" applyFill="1" applyBorder="1" applyAlignment="1">
      <alignment vertical="center"/>
    </xf>
    <xf numFmtId="0" fontId="2" fillId="2" borderId="0" xfId="41" applyFill="1" applyAlignment="1">
      <alignment vertical="center"/>
    </xf>
    <xf numFmtId="0" fontId="20" fillId="0" borderId="0" xfId="66" applyFont="1" applyBorder="1">
      <alignment vertical="center"/>
    </xf>
    <xf numFmtId="0" fontId="20" fillId="0" borderId="0" xfId="66" applyFont="1">
      <alignment vertical="center"/>
    </xf>
    <xf numFmtId="0" fontId="0" fillId="2" borderId="0" xfId="41" applyFont="1" applyFill="1" applyAlignment="1">
      <alignment vertical="center"/>
    </xf>
    <xf numFmtId="0" fontId="2" fillId="2" borderId="0" xfId="41" applyFill="1">
      <alignment vertical="center"/>
    </xf>
    <xf numFmtId="0" fontId="16" fillId="3" borderId="1" xfId="41" applyFont="1" applyFill="1" applyBorder="1" applyAlignment="1">
      <alignment horizontal="center" vertical="center" wrapText="1"/>
    </xf>
    <xf numFmtId="0" fontId="16" fillId="3" borderId="1" xfId="41" applyFont="1" applyFill="1" applyBorder="1" applyAlignment="1">
      <alignment horizontal="center" vertical="center"/>
    </xf>
    <xf numFmtId="177" fontId="15" fillId="3" borderId="1" xfId="41" applyNumberFormat="1" applyFont="1" applyFill="1" applyBorder="1" applyAlignment="1">
      <alignment horizontal="center" vertical="center" wrapText="1"/>
    </xf>
    <xf numFmtId="177" fontId="14" fillId="3" borderId="1" xfId="41" applyNumberFormat="1" applyFont="1" applyFill="1" applyBorder="1" applyAlignment="1">
      <alignment horizontal="center" vertical="center" wrapText="1"/>
    </xf>
    <xf numFmtId="14" fontId="15" fillId="3" borderId="1" xfId="41" applyNumberFormat="1" applyFont="1" applyFill="1" applyBorder="1" applyAlignment="1">
      <alignment horizontal="center" vertical="center"/>
    </xf>
    <xf numFmtId="55" fontId="15" fillId="3" borderId="1" xfId="62" quotePrefix="1" applyNumberFormat="1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horizontal="center" vertical="center"/>
    </xf>
    <xf numFmtId="0" fontId="18" fillId="3" borderId="16" xfId="4" applyFont="1" applyFill="1" applyBorder="1" applyAlignment="1">
      <alignment vertical="center"/>
    </xf>
    <xf numFmtId="0" fontId="18" fillId="0" borderId="16" xfId="4" applyFont="1" applyBorder="1" applyAlignment="1">
      <alignment vertical="center"/>
    </xf>
    <xf numFmtId="0" fontId="18" fillId="0" borderId="16" xfId="4" applyFont="1" applyBorder="1" applyAlignment="1">
      <alignment horizontal="center" vertical="center"/>
    </xf>
    <xf numFmtId="0" fontId="18" fillId="0" borderId="16" xfId="4" applyFont="1" applyFill="1" applyBorder="1" applyAlignment="1">
      <alignment vertical="center"/>
    </xf>
    <xf numFmtId="0" fontId="18" fillId="0" borderId="19" xfId="4" applyFont="1" applyBorder="1" applyAlignment="1">
      <alignment vertical="center"/>
    </xf>
    <xf numFmtId="0" fontId="18" fillId="0" borderId="19" xfId="4" applyFont="1" applyFill="1" applyBorder="1" applyAlignment="1">
      <alignment vertical="center"/>
    </xf>
    <xf numFmtId="0" fontId="18" fillId="3" borderId="17" xfId="4" applyFont="1" applyFill="1" applyBorder="1" applyAlignment="1">
      <alignment horizontal="center" vertical="center"/>
    </xf>
    <xf numFmtId="0" fontId="18" fillId="0" borderId="17" xfId="4" applyFont="1" applyBorder="1" applyAlignment="1">
      <alignment vertical="center"/>
    </xf>
    <xf numFmtId="0" fontId="18" fillId="0" borderId="22" xfId="4" applyFont="1" applyBorder="1" applyAlignment="1">
      <alignment vertical="center"/>
    </xf>
    <xf numFmtId="0" fontId="15" fillId="0" borderId="16" xfId="4" applyFont="1" applyBorder="1" applyAlignment="1">
      <alignment vertical="center"/>
    </xf>
    <xf numFmtId="0" fontId="15" fillId="0" borderId="16" xfId="4" applyFont="1" applyBorder="1" applyAlignment="1">
      <alignment horizontal="center" vertical="center"/>
    </xf>
    <xf numFmtId="0" fontId="15" fillId="3" borderId="17" xfId="4" applyFont="1" applyFill="1" applyBorder="1" applyAlignment="1">
      <alignment horizontal="center" vertical="center"/>
    </xf>
    <xf numFmtId="0" fontId="15" fillId="0" borderId="19" xfId="4" applyFont="1" applyBorder="1" applyAlignment="1">
      <alignment vertical="center"/>
    </xf>
    <xf numFmtId="0" fontId="15" fillId="0" borderId="20" xfId="4" applyFont="1" applyBorder="1" applyAlignment="1">
      <alignment vertical="center"/>
    </xf>
    <xf numFmtId="0" fontId="15" fillId="0" borderId="18" xfId="4" applyFont="1" applyBorder="1" applyAlignment="1">
      <alignment horizontal="center" vertical="center"/>
    </xf>
    <xf numFmtId="0" fontId="15" fillId="0" borderId="18" xfId="4" applyFont="1" applyBorder="1" applyAlignment="1">
      <alignment vertical="center"/>
    </xf>
    <xf numFmtId="0" fontId="15" fillId="3" borderId="23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15" fillId="0" borderId="23" xfId="4" applyFont="1" applyBorder="1" applyAlignment="1">
      <alignment vertical="center"/>
    </xf>
    <xf numFmtId="0" fontId="18" fillId="3" borderId="17" xfId="4" applyFont="1" applyFill="1" applyBorder="1" applyAlignment="1">
      <alignment vertical="center"/>
    </xf>
    <xf numFmtId="0" fontId="18" fillId="3" borderId="0" xfId="4" applyFont="1" applyFill="1" applyBorder="1" applyAlignment="1">
      <alignment horizontal="center" vertical="center"/>
    </xf>
    <xf numFmtId="0" fontId="18" fillId="0" borderId="23" xfId="4" applyFont="1" applyBorder="1" applyAlignment="1">
      <alignment horizontal="center" vertical="center"/>
    </xf>
    <xf numFmtId="0" fontId="18" fillId="0" borderId="23" xfId="4" applyFont="1" applyBorder="1" applyAlignment="1">
      <alignment vertical="center"/>
    </xf>
    <xf numFmtId="0" fontId="26" fillId="0" borderId="18" xfId="0" applyFont="1" applyFill="1" applyBorder="1" applyAlignment="1">
      <alignment horizontal="center" vertical="center" wrapText="1"/>
    </xf>
    <xf numFmtId="178" fontId="17" fillId="0" borderId="18" xfId="0" applyNumberFormat="1" applyFont="1" applyFill="1" applyBorder="1" applyAlignment="1">
      <alignment horizontal="right" vertical="center" wrapText="1"/>
    </xf>
    <xf numFmtId="10" fontId="17" fillId="0" borderId="18" xfId="67" applyNumberFormat="1" applyFont="1" applyFill="1" applyBorder="1" applyAlignment="1">
      <alignment horizontal="right" vertical="center" wrapText="1"/>
    </xf>
    <xf numFmtId="0" fontId="18" fillId="3" borderId="21" xfId="4" applyFont="1" applyFill="1" applyBorder="1" applyAlignment="1">
      <alignment vertical="center"/>
    </xf>
    <xf numFmtId="0" fontId="18" fillId="3" borderId="23" xfId="4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left" vertical="center" wrapText="1"/>
    </xf>
    <xf numFmtId="0" fontId="28" fillId="0" borderId="24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left" vertical="top" wrapText="1"/>
    </xf>
    <xf numFmtId="0" fontId="18" fillId="0" borderId="25" xfId="0" applyNumberFormat="1" applyFont="1" applyFill="1" applyBorder="1" applyAlignment="1">
      <alignment horizontal="center" vertical="center" wrapText="1"/>
    </xf>
    <xf numFmtId="0" fontId="18" fillId="0" borderId="24" xfId="4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22" fillId="0" borderId="19" xfId="71" applyFont="1" applyFill="1" applyBorder="1" applyAlignment="1">
      <alignment vertical="center" wrapText="1"/>
    </xf>
    <xf numFmtId="0" fontId="22" fillId="0" borderId="19" xfId="70" applyFont="1" applyFill="1" applyBorder="1" applyAlignment="1">
      <alignment vertical="center" wrapText="1"/>
    </xf>
    <xf numFmtId="0" fontId="22" fillId="0" borderId="19" xfId="72" applyFont="1" applyFill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5" fillId="0" borderId="17" xfId="4" applyFont="1" applyBorder="1" applyAlignment="1">
      <alignment horizontal="center" vertical="center" wrapText="1"/>
    </xf>
    <xf numFmtId="0" fontId="15" fillId="0" borderId="19" xfId="0" applyFont="1" applyBorder="1" applyAlignment="1">
      <alignment vertical="center" wrapText="1"/>
    </xf>
    <xf numFmtId="0" fontId="15" fillId="0" borderId="19" xfId="0" applyFont="1" applyFill="1" applyBorder="1" applyAlignment="1">
      <alignment vertical="center" wrapText="1"/>
    </xf>
    <xf numFmtId="0" fontId="15" fillId="0" borderId="16" xfId="0" applyFont="1" applyFill="1" applyBorder="1" applyAlignment="1">
      <alignment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50" xfId="0" applyFont="1" applyBorder="1" applyAlignment="1">
      <alignment vertical="center" wrapText="1"/>
    </xf>
    <xf numFmtId="0" fontId="15" fillId="0" borderId="18" xfId="0" applyFont="1" applyBorder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18" fillId="0" borderId="18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30" fillId="12" borderId="16" xfId="71" applyBorder="1">
      <alignment vertical="center"/>
    </xf>
    <xf numFmtId="0" fontId="0" fillId="0" borderId="16" xfId="0" applyBorder="1">
      <alignment vertical="center"/>
    </xf>
    <xf numFmtId="0" fontId="15" fillId="0" borderId="78" xfId="4" applyFont="1" applyBorder="1" applyAlignment="1">
      <alignment horizontal="center" vertical="center" wrapText="1"/>
    </xf>
    <xf numFmtId="0" fontId="15" fillId="0" borderId="78" xfId="0" applyFont="1" applyBorder="1" applyAlignment="1">
      <alignment horizontal="left" vertical="center" wrapText="1"/>
    </xf>
    <xf numFmtId="0" fontId="15" fillId="0" borderId="78" xfId="0" applyFont="1" applyBorder="1" applyAlignment="1">
      <alignment horizontal="center" vertical="center" wrapText="1"/>
    </xf>
    <xf numFmtId="0" fontId="15" fillId="0" borderId="78" xfId="0" applyFont="1" applyBorder="1" applyAlignment="1">
      <alignment vertical="center" wrapText="1"/>
    </xf>
    <xf numFmtId="0" fontId="15" fillId="0" borderId="77" xfId="0" applyFont="1" applyBorder="1" applyAlignment="1">
      <alignment vertical="center" wrapText="1"/>
    </xf>
    <xf numFmtId="0" fontId="15" fillId="0" borderId="16" xfId="4" applyFont="1" applyBorder="1" applyAlignment="1">
      <alignment vertical="center"/>
    </xf>
    <xf numFmtId="0" fontId="15" fillId="0" borderId="16" xfId="4" applyFont="1" applyBorder="1" applyAlignment="1">
      <alignment horizontal="center" vertical="center"/>
    </xf>
    <xf numFmtId="0" fontId="15" fillId="0" borderId="17" xfId="4" applyFont="1" applyBorder="1" applyAlignment="1">
      <alignment horizontal="center" vertical="center"/>
    </xf>
    <xf numFmtId="0" fontId="15" fillId="0" borderId="17" xfId="4" applyFont="1" applyBorder="1" applyAlignment="1">
      <alignment vertical="center"/>
    </xf>
    <xf numFmtId="0" fontId="15" fillId="0" borderId="19" xfId="4" applyFont="1" applyBorder="1" applyAlignment="1">
      <alignment vertical="center"/>
    </xf>
    <xf numFmtId="0" fontId="15" fillId="0" borderId="18" xfId="4" applyFont="1" applyBorder="1" applyAlignment="1">
      <alignment horizontal="center" vertical="center"/>
    </xf>
    <xf numFmtId="0" fontId="22" fillId="0" borderId="16" xfId="71" applyFont="1" applyFill="1" applyBorder="1" applyAlignment="1">
      <alignment vertical="center" wrapText="1"/>
    </xf>
    <xf numFmtId="0" fontId="22" fillId="0" borderId="16" xfId="70" applyFont="1" applyFill="1" applyBorder="1" applyAlignment="1">
      <alignment vertical="center" wrapText="1"/>
    </xf>
    <xf numFmtId="0" fontId="22" fillId="0" borderId="16" xfId="72" applyFont="1" applyFill="1" applyBorder="1" applyAlignment="1">
      <alignment vertical="center" wrapText="1"/>
    </xf>
    <xf numFmtId="0" fontId="15" fillId="0" borderId="16" xfId="0" applyFont="1" applyBorder="1" applyAlignment="1">
      <alignment vertical="center" wrapText="1"/>
    </xf>
    <xf numFmtId="0" fontId="15" fillId="0" borderId="17" xfId="4" applyFont="1" applyBorder="1" applyAlignment="1">
      <alignment horizontal="center" vertical="center" wrapText="1"/>
    </xf>
    <xf numFmtId="0" fontId="15" fillId="0" borderId="18" xfId="0" applyFont="1" applyBorder="1" applyAlignment="1">
      <alignment vertical="center" wrapText="1"/>
    </xf>
    <xf numFmtId="0" fontId="30" fillId="12" borderId="16" xfId="71" applyBorder="1" applyAlignment="1">
      <alignment vertical="center"/>
    </xf>
    <xf numFmtId="0" fontId="18" fillId="0" borderId="16" xfId="4" applyFont="1" applyBorder="1" applyAlignment="1">
      <alignment horizontal="center" vertical="center" wrapText="1"/>
    </xf>
    <xf numFmtId="0" fontId="18" fillId="0" borderId="81" xfId="4" applyFont="1" applyBorder="1" applyAlignment="1">
      <alignment horizontal="center" vertical="center" wrapText="1"/>
    </xf>
    <xf numFmtId="0" fontId="18" fillId="0" borderId="82" xfId="4" applyFont="1" applyBorder="1" applyAlignment="1">
      <alignment horizontal="center" vertical="center" wrapText="1"/>
    </xf>
    <xf numFmtId="0" fontId="18" fillId="0" borderId="83" xfId="4" applyFont="1" applyBorder="1" applyAlignment="1">
      <alignment horizontal="center" vertical="center" wrapText="1"/>
    </xf>
    <xf numFmtId="0" fontId="18" fillId="0" borderId="86" xfId="4" applyFont="1" applyBorder="1" applyAlignment="1">
      <alignment horizontal="center" vertical="center" wrapText="1"/>
    </xf>
    <xf numFmtId="0" fontId="18" fillId="0" borderId="87" xfId="4" applyFont="1" applyBorder="1" applyAlignment="1">
      <alignment horizontal="center" vertical="center" wrapText="1"/>
    </xf>
    <xf numFmtId="0" fontId="18" fillId="0" borderId="42" xfId="4" applyFont="1" applyBorder="1" applyAlignment="1">
      <alignment horizontal="center" vertical="center" wrapText="1"/>
    </xf>
    <xf numFmtId="0" fontId="15" fillId="3" borderId="16" xfId="4" applyFont="1" applyFill="1" applyBorder="1" applyAlignment="1">
      <alignment horizontal="center" vertical="center"/>
    </xf>
    <xf numFmtId="0" fontId="18" fillId="0" borderId="17" xfId="4" applyFont="1" applyBorder="1" applyAlignment="1">
      <alignment horizontal="left" vertical="center" wrapText="1"/>
    </xf>
    <xf numFmtId="0" fontId="18" fillId="0" borderId="46" xfId="4" applyFont="1" applyBorder="1" applyAlignment="1">
      <alignment horizontal="left" vertical="center" wrapText="1"/>
    </xf>
    <xf numFmtId="0" fontId="18" fillId="0" borderId="58" xfId="4" applyFont="1" applyBorder="1" applyAlignment="1">
      <alignment horizontal="left" vertical="center" wrapText="1"/>
    </xf>
    <xf numFmtId="0" fontId="18" fillId="0" borderId="36" xfId="4" applyFont="1" applyBorder="1" applyAlignment="1">
      <alignment horizontal="left" vertical="center" wrapText="1"/>
    </xf>
    <xf numFmtId="0" fontId="18" fillId="0" borderId="40" xfId="4" applyFont="1" applyBorder="1" applyAlignment="1">
      <alignment horizontal="left" vertical="center" wrapText="1"/>
    </xf>
    <xf numFmtId="0" fontId="18" fillId="0" borderId="79" xfId="4" applyFont="1" applyBorder="1" applyAlignment="1">
      <alignment horizontal="left" vertical="center" wrapText="1"/>
    </xf>
    <xf numFmtId="0" fontId="18" fillId="0" borderId="82" xfId="4" applyFont="1" applyBorder="1" applyAlignment="1">
      <alignment horizontal="left" vertical="center" wrapText="1"/>
    </xf>
    <xf numFmtId="0" fontId="18" fillId="0" borderId="18" xfId="4" applyFont="1" applyBorder="1" applyAlignment="1">
      <alignment horizontal="left" vertical="center" wrapText="1"/>
    </xf>
    <xf numFmtId="0" fontId="18" fillId="0" borderId="16" xfId="4" applyFont="1" applyBorder="1" applyAlignment="1">
      <alignment horizontal="left" vertical="center" wrapText="1"/>
    </xf>
    <xf numFmtId="0" fontId="18" fillId="0" borderId="36" xfId="4" applyFont="1" applyBorder="1" applyAlignment="1">
      <alignment horizontal="center" vertical="center" wrapText="1"/>
    </xf>
    <xf numFmtId="0" fontId="18" fillId="0" borderId="40" xfId="4" applyFont="1" applyBorder="1" applyAlignment="1">
      <alignment horizontal="center" vertical="center" wrapText="1"/>
    </xf>
    <xf numFmtId="0" fontId="18" fillId="0" borderId="46" xfId="4" applyFont="1" applyBorder="1" applyAlignment="1">
      <alignment horizontal="center" vertical="center" wrapText="1"/>
    </xf>
    <xf numFmtId="0" fontId="18" fillId="0" borderId="58" xfId="4" applyFont="1" applyBorder="1" applyAlignment="1">
      <alignment horizontal="center" vertical="center" wrapText="1"/>
    </xf>
    <xf numFmtId="0" fontId="18" fillId="0" borderId="41" xfId="4" applyFont="1" applyBorder="1" applyAlignment="1">
      <alignment horizontal="center" vertical="center" wrapText="1"/>
    </xf>
    <xf numFmtId="0" fontId="18" fillId="0" borderId="12" xfId="4" applyFont="1" applyBorder="1" applyAlignment="1">
      <alignment horizontal="center" vertical="center" wrapText="1"/>
    </xf>
    <xf numFmtId="0" fontId="18" fillId="0" borderId="79" xfId="4" applyFont="1" applyBorder="1" applyAlignment="1">
      <alignment horizontal="center" vertical="center" wrapText="1"/>
    </xf>
    <xf numFmtId="0" fontId="18" fillId="0" borderId="19" xfId="4" applyFont="1" applyBorder="1" applyAlignment="1">
      <alignment horizontal="center" vertical="center" wrapText="1"/>
    </xf>
    <xf numFmtId="0" fontId="28" fillId="9" borderId="24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wrapText="1"/>
    </xf>
    <xf numFmtId="0" fontId="17" fillId="10" borderId="54" xfId="0" applyFont="1" applyFill="1" applyBorder="1" applyAlignment="1">
      <alignment horizontal="center" vertical="center" wrapText="1"/>
    </xf>
    <xf numFmtId="0" fontId="17" fillId="10" borderId="57" xfId="0" applyFont="1" applyFill="1" applyBorder="1" applyAlignment="1">
      <alignment horizontal="center" vertical="center" wrapText="1"/>
    </xf>
    <xf numFmtId="0" fontId="17" fillId="10" borderId="55" xfId="0" applyFont="1" applyFill="1" applyBorder="1" applyAlignment="1">
      <alignment horizontal="center" vertical="center" wrapText="1"/>
    </xf>
    <xf numFmtId="0" fontId="17" fillId="10" borderId="56" xfId="0" applyFont="1" applyFill="1" applyBorder="1" applyAlignment="1">
      <alignment horizontal="center" vertical="center" wrapText="1"/>
    </xf>
    <xf numFmtId="0" fontId="7" fillId="0" borderId="49" xfId="71" applyFont="1" applyFill="1" applyBorder="1" applyAlignment="1">
      <alignment horizontal="center" vertical="center" wrapText="1"/>
    </xf>
    <xf numFmtId="0" fontId="7" fillId="0" borderId="49" xfId="71" applyFont="1" applyFill="1" applyBorder="1" applyAlignment="1">
      <alignment horizontal="left" vertical="center" wrapText="1"/>
    </xf>
    <xf numFmtId="0" fontId="7" fillId="0" borderId="47" xfId="71" applyFont="1" applyFill="1" applyBorder="1" applyAlignment="1">
      <alignment horizontal="center" vertical="center" wrapText="1"/>
    </xf>
    <xf numFmtId="0" fontId="7" fillId="0" borderId="1" xfId="71" applyFont="1" applyFill="1" applyBorder="1" applyAlignment="1">
      <alignment horizontal="center" vertical="center" wrapText="1"/>
    </xf>
    <xf numFmtId="0" fontId="7" fillId="0" borderId="2" xfId="7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7" fillId="0" borderId="48" xfId="71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1" xfId="71" applyFont="1" applyFill="1" applyBorder="1" applyAlignment="1">
      <alignment horizontal="center" vertical="center" wrapText="1"/>
    </xf>
    <xf numFmtId="0" fontId="18" fillId="0" borderId="2" xfId="71" applyFont="1" applyFill="1" applyBorder="1" applyAlignment="1">
      <alignment horizontal="center" vertical="center" wrapText="1"/>
    </xf>
    <xf numFmtId="0" fontId="18" fillId="0" borderId="47" xfId="71" applyFont="1" applyFill="1" applyBorder="1" applyAlignment="1">
      <alignment horizontal="center" vertical="center" wrapText="1"/>
    </xf>
    <xf numFmtId="0" fontId="18" fillId="0" borderId="48" xfId="71" applyFont="1" applyFill="1" applyBorder="1" applyAlignment="1">
      <alignment horizontal="center" vertical="center" wrapText="1"/>
    </xf>
    <xf numFmtId="0" fontId="7" fillId="0" borderId="3" xfId="71" applyFont="1" applyFill="1" applyBorder="1" applyAlignment="1">
      <alignment horizontal="center" vertical="center" wrapText="1"/>
    </xf>
    <xf numFmtId="0" fontId="18" fillId="0" borderId="47" xfId="0" applyFont="1" applyFill="1" applyBorder="1" applyAlignment="1">
      <alignment horizontal="center" vertical="center" wrapText="1"/>
    </xf>
    <xf numFmtId="0" fontId="18" fillId="0" borderId="48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3" xfId="71" applyFont="1" applyFill="1" applyBorder="1" applyAlignment="1">
      <alignment horizontal="center" vertical="center" wrapText="1"/>
    </xf>
    <xf numFmtId="0" fontId="7" fillId="0" borderId="49" xfId="0" applyFont="1" applyFill="1" applyBorder="1" applyAlignment="1">
      <alignment horizontal="center" vertical="center" wrapText="1"/>
    </xf>
    <xf numFmtId="0" fontId="18" fillId="0" borderId="49" xfId="0" applyFont="1" applyFill="1" applyBorder="1" applyAlignment="1">
      <alignment horizontal="left" vertical="center" wrapText="1"/>
    </xf>
    <xf numFmtId="0" fontId="17" fillId="0" borderId="32" xfId="4" applyFont="1" applyFill="1" applyBorder="1" applyAlignment="1">
      <alignment horizontal="center" vertical="center"/>
    </xf>
    <xf numFmtId="0" fontId="17" fillId="0" borderId="88" xfId="4" applyFont="1" applyFill="1" applyBorder="1" applyAlignment="1">
      <alignment horizontal="center" vertical="center"/>
    </xf>
    <xf numFmtId="0" fontId="17" fillId="0" borderId="31" xfId="4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 wrapText="1"/>
    </xf>
    <xf numFmtId="178" fontId="18" fillId="0" borderId="24" xfId="0" applyNumberFormat="1" applyFont="1" applyFill="1" applyBorder="1" applyAlignment="1">
      <alignment horizontal="right" vertical="center" wrapText="1"/>
    </xf>
    <xf numFmtId="178" fontId="21" fillId="0" borderId="24" xfId="0" applyNumberFormat="1" applyFont="1" applyFill="1" applyBorder="1" applyAlignment="1">
      <alignment horizontal="right" vertical="top" wrapText="1"/>
    </xf>
    <xf numFmtId="0" fontId="18" fillId="0" borderId="24" xfId="4" applyFont="1" applyFill="1" applyBorder="1" applyAlignment="1">
      <alignment vertical="center"/>
    </xf>
    <xf numFmtId="10" fontId="18" fillId="0" borderId="24" xfId="67" applyNumberFormat="1" applyFont="1" applyFill="1" applyBorder="1" applyAlignment="1">
      <alignment vertical="center"/>
    </xf>
    <xf numFmtId="10" fontId="18" fillId="0" borderId="26" xfId="67" applyNumberFormat="1" applyFont="1" applyFill="1" applyBorder="1" applyAlignment="1">
      <alignment vertical="center"/>
    </xf>
    <xf numFmtId="178" fontId="15" fillId="0" borderId="24" xfId="0" applyNumberFormat="1" applyFont="1" applyFill="1" applyBorder="1" applyAlignment="1">
      <alignment horizontal="right" vertical="center" wrapText="1"/>
    </xf>
    <xf numFmtId="0" fontId="26" fillId="4" borderId="30" xfId="0" applyFont="1" applyFill="1" applyBorder="1" applyAlignment="1">
      <alignment horizontal="center" vertical="center" wrapText="1"/>
    </xf>
    <xf numFmtId="0" fontId="26" fillId="4" borderId="89" xfId="0" applyFont="1" applyFill="1" applyBorder="1" applyAlignment="1">
      <alignment horizontal="center" vertical="center" wrapText="1"/>
    </xf>
    <xf numFmtId="10" fontId="26" fillId="4" borderId="89" xfId="67" applyNumberFormat="1" applyFont="1" applyFill="1" applyBorder="1" applyAlignment="1">
      <alignment horizontal="center" vertical="center" wrapText="1"/>
    </xf>
    <xf numFmtId="10" fontId="26" fillId="4" borderId="29" xfId="67" applyNumberFormat="1" applyFont="1" applyFill="1" applyBorder="1" applyAlignment="1">
      <alignment horizontal="center" vertical="center" wrapText="1"/>
    </xf>
    <xf numFmtId="178" fontId="17" fillId="4" borderId="89" xfId="0" applyNumberFormat="1" applyFont="1" applyFill="1" applyBorder="1" applyAlignment="1">
      <alignment horizontal="right" vertical="center" wrapText="1"/>
    </xf>
    <xf numFmtId="10" fontId="17" fillId="4" borderId="89" xfId="67" applyNumberFormat="1" applyFont="1" applyFill="1" applyBorder="1" applyAlignment="1">
      <alignment horizontal="right" vertical="center" wrapText="1"/>
    </xf>
    <xf numFmtId="10" fontId="17" fillId="4" borderId="29" xfId="67" applyNumberFormat="1" applyFont="1" applyFill="1" applyBorder="1" applyAlignment="1">
      <alignment horizontal="right" vertical="center" wrapText="1"/>
    </xf>
    <xf numFmtId="0" fontId="18" fillId="0" borderId="43" xfId="7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5" xfId="71" applyFont="1" applyFill="1" applyBorder="1" applyAlignment="1">
      <alignment horizontal="center" vertical="center" wrapText="1"/>
    </xf>
    <xf numFmtId="0" fontId="7" fillId="0" borderId="45" xfId="71" applyFont="1" applyFill="1" applyBorder="1" applyAlignment="1">
      <alignment horizontal="left" vertical="center" wrapText="1"/>
    </xf>
    <xf numFmtId="0" fontId="7" fillId="0" borderId="41" xfId="71" applyFont="1" applyFill="1" applyBorder="1" applyAlignment="1">
      <alignment horizontal="center" vertical="center" wrapText="1"/>
    </xf>
    <xf numFmtId="0" fontId="7" fillId="0" borderId="46" xfId="71" applyFont="1" applyFill="1" applyBorder="1" applyAlignment="1">
      <alignment horizontal="center" vertical="center" wrapText="1"/>
    </xf>
    <xf numFmtId="0" fontId="7" fillId="0" borderId="42" xfId="71" applyFont="1" applyFill="1" applyBorder="1" applyAlignment="1">
      <alignment horizontal="center" vertical="center" wrapText="1"/>
    </xf>
    <xf numFmtId="0" fontId="7" fillId="0" borderId="43" xfId="71" applyFont="1" applyFill="1" applyBorder="1" applyAlignment="1">
      <alignment horizontal="center" vertical="center" wrapText="1"/>
    </xf>
    <xf numFmtId="0" fontId="7" fillId="0" borderId="44" xfId="71" applyFont="1" applyFill="1" applyBorder="1" applyAlignment="1">
      <alignment horizontal="center" vertical="center" wrapText="1"/>
    </xf>
    <xf numFmtId="0" fontId="7" fillId="0" borderId="49" xfId="72" applyFont="1" applyFill="1" applyBorder="1" applyAlignment="1">
      <alignment horizontal="center" vertical="center" wrapText="1"/>
    </xf>
    <xf numFmtId="0" fontId="7" fillId="0" borderId="49" xfId="72" applyFont="1" applyFill="1" applyBorder="1" applyAlignment="1">
      <alignment horizontal="left" vertical="center" wrapText="1"/>
    </xf>
    <xf numFmtId="0" fontId="7" fillId="0" borderId="47" xfId="72" applyFont="1" applyFill="1" applyBorder="1" applyAlignment="1">
      <alignment horizontal="center" vertical="center" wrapText="1"/>
    </xf>
    <xf numFmtId="0" fontId="7" fillId="0" borderId="1" xfId="72" applyFont="1" applyFill="1" applyBorder="1" applyAlignment="1">
      <alignment horizontal="center" vertical="center" wrapText="1"/>
    </xf>
    <xf numFmtId="0" fontId="7" fillId="0" borderId="2" xfId="72" applyFont="1" applyFill="1" applyBorder="1" applyAlignment="1">
      <alignment horizontal="center" vertical="center" wrapText="1"/>
    </xf>
    <xf numFmtId="0" fontId="7" fillId="0" borderId="48" xfId="72" applyFont="1" applyFill="1" applyBorder="1" applyAlignment="1">
      <alignment horizontal="center" vertical="center" wrapText="1"/>
    </xf>
    <xf numFmtId="0" fontId="7" fillId="0" borderId="3" xfId="72" applyFont="1" applyFill="1" applyBorder="1" applyAlignment="1">
      <alignment horizontal="center" vertical="center" wrapText="1"/>
    </xf>
    <xf numFmtId="0" fontId="7" fillId="0" borderId="49" xfId="70" applyFont="1" applyFill="1" applyBorder="1" applyAlignment="1">
      <alignment horizontal="center" vertical="center" wrapText="1"/>
    </xf>
    <xf numFmtId="0" fontId="7" fillId="0" borderId="49" xfId="70" applyFont="1" applyFill="1" applyBorder="1" applyAlignment="1">
      <alignment horizontal="left" vertical="center" wrapText="1"/>
    </xf>
    <xf numFmtId="0" fontId="7" fillId="0" borderId="47" xfId="70" applyFont="1" applyFill="1" applyBorder="1" applyAlignment="1">
      <alignment horizontal="center" vertical="center" wrapText="1"/>
    </xf>
    <xf numFmtId="0" fontId="7" fillId="0" borderId="1" xfId="70" applyFont="1" applyFill="1" applyBorder="1" applyAlignment="1">
      <alignment horizontal="center" vertical="center" wrapText="1"/>
    </xf>
    <xf numFmtId="0" fontId="7" fillId="0" borderId="2" xfId="70" applyFont="1" applyFill="1" applyBorder="1" applyAlignment="1">
      <alignment horizontal="center" vertical="center" wrapText="1"/>
    </xf>
    <xf numFmtId="0" fontId="7" fillId="0" borderId="48" xfId="70" applyFont="1" applyFill="1" applyBorder="1" applyAlignment="1">
      <alignment horizontal="center" vertical="center" wrapText="1"/>
    </xf>
    <xf numFmtId="0" fontId="7" fillId="0" borderId="3" xfId="70" applyFont="1" applyFill="1" applyBorder="1" applyAlignment="1">
      <alignment horizontal="center" vertical="center" wrapText="1"/>
    </xf>
    <xf numFmtId="0" fontId="7" fillId="0" borderId="74" xfId="72" applyFont="1" applyFill="1" applyBorder="1" applyAlignment="1">
      <alignment horizontal="center" vertical="center" wrapText="1"/>
    </xf>
    <xf numFmtId="0" fontId="7" fillId="0" borderId="47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center" vertical="center" wrapText="1"/>
    </xf>
    <xf numFmtId="0" fontId="7" fillId="0" borderId="39" xfId="70" applyFont="1" applyFill="1" applyBorder="1" applyAlignment="1">
      <alignment horizontal="center" vertical="center" wrapText="1"/>
    </xf>
    <xf numFmtId="0" fontId="7" fillId="0" borderId="39" xfId="70" applyFont="1" applyFill="1" applyBorder="1" applyAlignment="1">
      <alignment horizontal="left" vertical="center" wrapText="1"/>
    </xf>
    <xf numFmtId="0" fontId="7" fillId="0" borderId="37" xfId="70" applyFont="1" applyFill="1" applyBorder="1" applyAlignment="1">
      <alignment horizontal="center" vertical="center" wrapText="1"/>
    </xf>
    <xf numFmtId="0" fontId="7" fillId="0" borderId="40" xfId="70" applyFont="1" applyFill="1" applyBorder="1" applyAlignment="1">
      <alignment horizontal="center" vertical="center" wrapText="1"/>
    </xf>
    <xf numFmtId="0" fontId="7" fillId="0" borderId="4" xfId="70" applyFont="1" applyFill="1" applyBorder="1" applyAlignment="1">
      <alignment horizontal="center" vertical="center" wrapText="1"/>
    </xf>
    <xf numFmtId="0" fontId="7" fillId="0" borderId="38" xfId="70" applyFont="1" applyFill="1" applyBorder="1" applyAlignment="1">
      <alignment horizontal="center" vertical="center" wrapText="1"/>
    </xf>
    <xf numFmtId="0" fontId="7" fillId="0" borderId="5" xfId="7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left" vertical="center"/>
    </xf>
    <xf numFmtId="0" fontId="15" fillId="0" borderId="16" xfId="0" applyFont="1" applyBorder="1" applyAlignment="1">
      <alignment vertical="center"/>
    </xf>
    <xf numFmtId="0" fontId="15" fillId="0" borderId="16" xfId="0" applyFont="1" applyBorder="1" applyAlignment="1">
      <alignment horizontal="center" vertical="center"/>
    </xf>
    <xf numFmtId="0" fontId="18" fillId="0" borderId="16" xfId="4" applyFont="1" applyBorder="1" applyAlignment="1">
      <alignment vertical="center" wrapText="1"/>
    </xf>
    <xf numFmtId="0" fontId="18" fillId="0" borderId="24" xfId="0" applyFont="1" applyBorder="1" applyAlignment="1">
      <alignment horizontal="left" vertical="center" wrapText="1"/>
    </xf>
    <xf numFmtId="41" fontId="18" fillId="0" borderId="17" xfId="74" applyFont="1" applyBorder="1" applyAlignment="1">
      <alignment horizontal="center" vertical="center" wrapText="1"/>
    </xf>
    <xf numFmtId="41" fontId="18" fillId="0" borderId="46" xfId="74" applyFont="1" applyBorder="1" applyAlignment="1">
      <alignment horizontal="center" vertical="center" wrapText="1"/>
    </xf>
    <xf numFmtId="41" fontId="18" fillId="0" borderId="58" xfId="74" applyFont="1" applyBorder="1" applyAlignment="1">
      <alignment horizontal="center" vertical="center" wrapText="1"/>
    </xf>
    <xf numFmtId="41" fontId="18" fillId="0" borderId="36" xfId="74" applyFont="1" applyBorder="1" applyAlignment="1">
      <alignment horizontal="center" vertical="center" wrapText="1"/>
    </xf>
    <xf numFmtId="41" fontId="18" fillId="0" borderId="40" xfId="74" applyFont="1" applyBorder="1" applyAlignment="1">
      <alignment horizontal="center" vertical="center" wrapText="1"/>
    </xf>
    <xf numFmtId="41" fontId="18" fillId="0" borderId="79" xfId="74" applyFont="1" applyBorder="1" applyAlignment="1">
      <alignment horizontal="center" vertical="center" wrapText="1"/>
    </xf>
    <xf numFmtId="41" fontId="18" fillId="0" borderId="82" xfId="74" applyFont="1" applyBorder="1" applyAlignment="1">
      <alignment horizontal="center" vertical="center" wrapText="1"/>
    </xf>
    <xf numFmtId="41" fontId="18" fillId="0" borderId="18" xfId="74" applyFont="1" applyBorder="1" applyAlignment="1">
      <alignment horizontal="center" vertical="center" wrapText="1"/>
    </xf>
    <xf numFmtId="41" fontId="18" fillId="0" borderId="16" xfId="74" applyFont="1" applyBorder="1" applyAlignment="1">
      <alignment horizontal="center" vertical="center" wrapText="1"/>
    </xf>
    <xf numFmtId="0" fontId="18" fillId="3" borderId="16" xfId="4" applyFont="1" applyFill="1" applyBorder="1" applyAlignment="1">
      <alignment horizontal="center" vertical="center" wrapText="1"/>
    </xf>
    <xf numFmtId="41" fontId="18" fillId="3" borderId="16" xfId="74" applyFont="1" applyFill="1" applyBorder="1" applyAlignment="1">
      <alignment horizontal="center" vertical="center" wrapText="1"/>
    </xf>
    <xf numFmtId="0" fontId="18" fillId="3" borderId="16" xfId="4" applyFont="1" applyFill="1" applyBorder="1" applyAlignment="1">
      <alignment horizontal="left" vertical="center" wrapText="1"/>
    </xf>
    <xf numFmtId="0" fontId="18" fillId="0" borderId="96" xfId="4" applyFont="1" applyBorder="1" applyAlignment="1">
      <alignment horizontal="center" vertical="center" wrapText="1"/>
    </xf>
    <xf numFmtId="0" fontId="18" fillId="0" borderId="43" xfId="4" applyFont="1" applyBorder="1" applyAlignment="1">
      <alignment horizontal="center" vertical="center" wrapText="1"/>
    </xf>
    <xf numFmtId="0" fontId="18" fillId="0" borderId="76" xfId="4" applyFont="1" applyBorder="1" applyAlignment="1">
      <alignment horizontal="center" vertical="center" wrapText="1"/>
    </xf>
    <xf numFmtId="0" fontId="18" fillId="0" borderId="35" xfId="4" applyFont="1" applyBorder="1" applyAlignment="1">
      <alignment horizontal="center" vertical="center" wrapText="1"/>
    </xf>
    <xf numFmtId="0" fontId="18" fillId="0" borderId="5" xfId="4" applyFont="1" applyBorder="1" applyAlignment="1">
      <alignment horizontal="center" vertical="center" wrapText="1"/>
    </xf>
    <xf numFmtId="0" fontId="18" fillId="0" borderId="97" xfId="4" applyFont="1" applyBorder="1" applyAlignment="1">
      <alignment horizontal="center" vertical="center" wrapText="1"/>
    </xf>
    <xf numFmtId="0" fontId="18" fillId="0" borderId="98" xfId="4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18" fillId="0" borderId="46" xfId="4" applyFont="1" applyFill="1" applyBorder="1" applyAlignment="1">
      <alignment horizontal="center" vertical="center" wrapText="1"/>
    </xf>
    <xf numFmtId="0" fontId="18" fillId="0" borderId="58" xfId="4" applyFont="1" applyFill="1" applyBorder="1" applyAlignment="1">
      <alignment horizontal="center" vertical="center" wrapText="1"/>
    </xf>
    <xf numFmtId="0" fontId="18" fillId="0" borderId="17" xfId="4" applyFont="1" applyFill="1" applyBorder="1" applyAlignment="1">
      <alignment horizontal="left" vertical="center" wrapText="1"/>
    </xf>
    <xf numFmtId="41" fontId="18" fillId="0" borderId="46" xfId="74" applyFont="1" applyFill="1" applyBorder="1" applyAlignment="1">
      <alignment horizontal="center" vertical="center" wrapText="1"/>
    </xf>
    <xf numFmtId="41" fontId="18" fillId="0" borderId="58" xfId="74" applyFont="1" applyFill="1" applyBorder="1" applyAlignment="1">
      <alignment horizontal="center" vertical="center" wrapText="1"/>
    </xf>
    <xf numFmtId="0" fontId="17" fillId="10" borderId="54" xfId="74" applyNumberFormat="1" applyFont="1" applyFill="1" applyBorder="1" applyAlignment="1">
      <alignment horizontal="center" vertical="center" wrapText="1"/>
    </xf>
    <xf numFmtId="0" fontId="18" fillId="0" borderId="19" xfId="4" applyNumberFormat="1" applyFont="1" applyBorder="1" applyAlignment="1">
      <alignment horizontal="center" vertical="center" wrapText="1"/>
    </xf>
    <xf numFmtId="0" fontId="18" fillId="0" borderId="16" xfId="4" applyNumberFormat="1" applyFont="1" applyBorder="1" applyAlignment="1">
      <alignment horizontal="center" vertical="center" wrapText="1"/>
    </xf>
    <xf numFmtId="0" fontId="17" fillId="10" borderId="56" xfId="4" applyNumberFormat="1" applyFont="1" applyFill="1" applyBorder="1" applyAlignment="1">
      <alignment horizontal="center" vertical="center" wrapText="1"/>
    </xf>
    <xf numFmtId="0" fontId="17" fillId="10" borderId="55" xfId="4" applyNumberFormat="1" applyFont="1" applyFill="1" applyBorder="1" applyAlignment="1">
      <alignment horizontal="center" vertical="center" wrapText="1"/>
    </xf>
    <xf numFmtId="0" fontId="17" fillId="10" borderId="54" xfId="4" applyNumberFormat="1" applyFont="1" applyFill="1" applyBorder="1" applyAlignment="1">
      <alignment horizontal="center" vertical="center" wrapText="1"/>
    </xf>
    <xf numFmtId="41" fontId="18" fillId="0" borderId="1" xfId="74" applyFont="1" applyBorder="1" applyAlignment="1">
      <alignment horizontal="center" vertical="center" wrapText="1"/>
    </xf>
    <xf numFmtId="0" fontId="17" fillId="10" borderId="57" xfId="4" applyNumberFormat="1" applyFont="1" applyFill="1" applyBorder="1" applyAlignment="1">
      <alignment horizontal="center" vertical="center" wrapText="1"/>
    </xf>
    <xf numFmtId="0" fontId="18" fillId="0" borderId="106" xfId="4" applyFont="1" applyBorder="1" applyAlignment="1">
      <alignment horizontal="center" vertical="center" wrapText="1"/>
    </xf>
    <xf numFmtId="0" fontId="17" fillId="10" borderId="53" xfId="4" applyNumberFormat="1" applyFont="1" applyFill="1" applyBorder="1" applyAlignment="1">
      <alignment horizontal="center" vertical="center" wrapText="1"/>
    </xf>
    <xf numFmtId="41" fontId="18" fillId="0" borderId="16" xfId="74" applyFont="1" applyBorder="1" applyAlignment="1">
      <alignment horizontal="left" vertical="center" wrapText="1"/>
    </xf>
    <xf numFmtId="41" fontId="18" fillId="3" borderId="16" xfId="74" applyFont="1" applyFill="1" applyBorder="1" applyAlignment="1">
      <alignment horizontal="left" vertical="center" wrapText="1"/>
    </xf>
    <xf numFmtId="41" fontId="18" fillId="0" borderId="17" xfId="74" applyFont="1" applyBorder="1" applyAlignment="1">
      <alignment horizontal="left" vertical="center" wrapText="1"/>
    </xf>
    <xf numFmtId="41" fontId="18" fillId="0" borderId="46" xfId="74" applyFont="1" applyBorder="1" applyAlignment="1">
      <alignment horizontal="left" vertical="center" wrapText="1"/>
    </xf>
    <xf numFmtId="41" fontId="18" fillId="0" borderId="58" xfId="74" applyFont="1" applyBorder="1" applyAlignment="1">
      <alignment horizontal="left" vertical="center" wrapText="1"/>
    </xf>
    <xf numFmtId="41" fontId="18" fillId="0" borderId="36" xfId="74" applyFont="1" applyBorder="1" applyAlignment="1">
      <alignment horizontal="left" vertical="center" wrapText="1"/>
    </xf>
    <xf numFmtId="41" fontId="18" fillId="0" borderId="40" xfId="74" applyFont="1" applyBorder="1" applyAlignment="1">
      <alignment horizontal="left" vertical="center" wrapText="1"/>
    </xf>
    <xf numFmtId="41" fontId="18" fillId="0" borderId="79" xfId="74" applyFont="1" applyBorder="1" applyAlignment="1">
      <alignment horizontal="left" vertical="center" wrapText="1"/>
    </xf>
    <xf numFmtId="41" fontId="18" fillId="0" borderId="82" xfId="74" applyFont="1" applyBorder="1" applyAlignment="1">
      <alignment horizontal="left" vertical="center" wrapText="1"/>
    </xf>
    <xf numFmtId="41" fontId="18" fillId="0" borderId="18" xfId="74" applyFont="1" applyBorder="1" applyAlignment="1">
      <alignment horizontal="left" vertical="center" wrapText="1"/>
    </xf>
    <xf numFmtId="0" fontId="17" fillId="10" borderId="57" xfId="74" applyNumberFormat="1" applyFont="1" applyFill="1" applyBorder="1" applyAlignment="1">
      <alignment horizontal="center" vertical="center" wrapText="1"/>
    </xf>
    <xf numFmtId="41" fontId="18" fillId="10" borderId="90" xfId="74" applyFont="1" applyFill="1" applyBorder="1" applyAlignment="1">
      <alignment horizontal="center" vertical="center" wrapText="1"/>
    </xf>
    <xf numFmtId="41" fontId="18" fillId="10" borderId="96" xfId="74" applyFont="1" applyFill="1" applyBorder="1" applyAlignment="1">
      <alignment horizontal="center" vertical="center" wrapText="1"/>
    </xf>
    <xf numFmtId="41" fontId="18" fillId="10" borderId="83" xfId="74" applyFont="1" applyFill="1" applyBorder="1" applyAlignment="1">
      <alignment horizontal="center" vertical="center" wrapText="1"/>
    </xf>
    <xf numFmtId="0" fontId="17" fillId="10" borderId="51" xfId="4" applyNumberFormat="1" applyFont="1" applyFill="1" applyBorder="1" applyAlignment="1">
      <alignment horizontal="center" vertical="center" wrapText="1"/>
    </xf>
    <xf numFmtId="0" fontId="17" fillId="10" borderId="52" xfId="4" applyNumberFormat="1" applyFont="1" applyFill="1" applyBorder="1" applyAlignment="1">
      <alignment horizontal="center" vertical="center" wrapText="1"/>
    </xf>
    <xf numFmtId="41" fontId="18" fillId="10" borderId="68" xfId="74" applyFont="1" applyFill="1" applyBorder="1" applyAlignment="1">
      <alignment horizontal="center" vertical="center" wrapText="1"/>
    </xf>
    <xf numFmtId="0" fontId="18" fillId="0" borderId="85" xfId="4" applyFont="1" applyBorder="1" applyAlignment="1">
      <alignment horizontal="center" vertical="center" wrapText="1"/>
    </xf>
    <xf numFmtId="0" fontId="18" fillId="0" borderId="95" xfId="4" applyFont="1" applyBorder="1" applyAlignment="1">
      <alignment horizontal="center" vertical="center" wrapText="1"/>
    </xf>
    <xf numFmtId="0" fontId="18" fillId="0" borderId="105" xfId="4" applyFont="1" applyBorder="1" applyAlignment="1">
      <alignment horizontal="center" vertical="center" wrapText="1"/>
    </xf>
    <xf numFmtId="41" fontId="18" fillId="10" borderId="87" xfId="74" applyFont="1" applyFill="1" applyBorder="1" applyAlignment="1">
      <alignment horizontal="center" vertical="center" wrapText="1"/>
    </xf>
    <xf numFmtId="0" fontId="18" fillId="0" borderId="34" xfId="4" applyFont="1" applyBorder="1" applyAlignment="1">
      <alignment horizontal="center" vertical="center" wrapText="1"/>
    </xf>
    <xf numFmtId="0" fontId="18" fillId="0" borderId="38" xfId="4" applyFont="1" applyBorder="1" applyAlignment="1">
      <alignment horizontal="center" vertical="center" wrapText="1"/>
    </xf>
    <xf numFmtId="0" fontId="18" fillId="0" borderId="33" xfId="4" applyFont="1" applyBorder="1" applyAlignment="1">
      <alignment horizontal="center" vertical="center" wrapText="1"/>
    </xf>
    <xf numFmtId="0" fontId="18" fillId="0" borderId="37" xfId="4" applyFont="1" applyBorder="1" applyAlignment="1">
      <alignment horizontal="center" vertical="center" wrapText="1"/>
    </xf>
    <xf numFmtId="41" fontId="18" fillId="10" borderId="95" xfId="74" applyFont="1" applyFill="1" applyBorder="1" applyAlignment="1">
      <alignment horizontal="center" vertical="center" wrapText="1"/>
    </xf>
    <xf numFmtId="41" fontId="18" fillId="10" borderId="87" xfId="74" applyFont="1" applyFill="1" applyBorder="1" applyAlignment="1">
      <alignment horizontal="center" vertical="center" wrapText="1"/>
    </xf>
    <xf numFmtId="0" fontId="33" fillId="0" borderId="40" xfId="4" applyFont="1" applyBorder="1" applyAlignment="1">
      <alignment horizontal="center" vertical="center" wrapText="1"/>
    </xf>
    <xf numFmtId="0" fontId="34" fillId="0" borderId="40" xfId="4" applyFont="1" applyBorder="1" applyAlignment="1">
      <alignment horizontal="center" vertical="center" wrapText="1"/>
    </xf>
    <xf numFmtId="0" fontId="34" fillId="0" borderId="79" xfId="4" applyFont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 vertical="top" wrapText="1"/>
    </xf>
    <xf numFmtId="41" fontId="18" fillId="10" borderId="87" xfId="74" applyFont="1" applyFill="1" applyBorder="1" applyAlignment="1">
      <alignment horizontal="center" vertical="center" wrapText="1"/>
    </xf>
    <xf numFmtId="0" fontId="18" fillId="0" borderId="17" xfId="4" applyFont="1" applyBorder="1" applyAlignment="1">
      <alignment horizontal="left" vertical="center"/>
    </xf>
    <xf numFmtId="0" fontId="35" fillId="3" borderId="110" xfId="4" applyFont="1" applyFill="1" applyBorder="1" applyAlignment="1">
      <alignment vertical="center"/>
    </xf>
    <xf numFmtId="0" fontId="35" fillId="3" borderId="0" xfId="4" applyFont="1" applyFill="1" applyAlignment="1">
      <alignment vertical="center"/>
    </xf>
    <xf numFmtId="0" fontId="28" fillId="10" borderId="24" xfId="0" applyFont="1" applyFill="1" applyBorder="1" applyAlignment="1">
      <alignment horizontal="center" vertical="center"/>
    </xf>
    <xf numFmtId="0" fontId="28" fillId="10" borderId="89" xfId="0" applyFont="1" applyFill="1" applyBorder="1" applyAlignment="1">
      <alignment horizontal="center" vertical="center"/>
    </xf>
    <xf numFmtId="0" fontId="18" fillId="0" borderId="26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0" fillId="0" borderId="24" xfId="0" applyBorder="1">
      <alignment vertical="center"/>
    </xf>
    <xf numFmtId="0" fontId="24" fillId="8" borderId="2" xfId="4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left" vertical="center" wrapText="1"/>
    </xf>
    <xf numFmtId="0" fontId="27" fillId="0" borderId="24" xfId="0" applyFont="1" applyBorder="1" applyAlignment="1">
      <alignment horizontal="left" vertical="top" wrapText="1"/>
    </xf>
    <xf numFmtId="49" fontId="18" fillId="0" borderId="24" xfId="0" applyNumberFormat="1" applyFont="1" applyBorder="1" applyAlignment="1">
      <alignment horizontal="left" vertical="top" wrapText="1"/>
    </xf>
    <xf numFmtId="0" fontId="27" fillId="0" borderId="0" xfId="0" applyFont="1" applyAlignment="1">
      <alignment vertical="top" wrapText="1"/>
    </xf>
    <xf numFmtId="0" fontId="18" fillId="0" borderId="24" xfId="4" applyFont="1" applyBorder="1" applyAlignment="1">
      <alignment vertical="center"/>
    </xf>
    <xf numFmtId="49" fontId="18" fillId="0" borderId="24" xfId="0" applyNumberFormat="1" applyFont="1" applyBorder="1" applyAlignment="1">
      <alignment horizontal="center" vertical="center" wrapText="1"/>
    </xf>
    <xf numFmtId="41" fontId="36" fillId="14" borderId="40" xfId="74" applyFont="1" applyFill="1" applyBorder="1" applyAlignment="1">
      <alignment horizontal="center" vertical="center" wrapText="1"/>
    </xf>
    <xf numFmtId="41" fontId="36" fillId="0" borderId="79" xfId="74" applyFont="1" applyBorder="1" applyAlignment="1">
      <alignment horizontal="center" vertical="center" wrapText="1"/>
    </xf>
    <xf numFmtId="0" fontId="37" fillId="15" borderId="3" xfId="72" applyFont="1" applyFill="1" applyBorder="1" applyAlignment="1">
      <alignment horizontal="center" vertical="center" wrapText="1"/>
    </xf>
    <xf numFmtId="41" fontId="36" fillId="14" borderId="36" xfId="74" applyFont="1" applyFill="1" applyBorder="1" applyAlignment="1">
      <alignment horizontal="left" vertical="center" wrapText="1"/>
    </xf>
    <xf numFmtId="0" fontId="36" fillId="0" borderId="40" xfId="4" applyFont="1" applyBorder="1" applyAlignment="1">
      <alignment horizontal="center" vertical="center" wrapText="1"/>
    </xf>
    <xf numFmtId="14" fontId="18" fillId="2" borderId="2" xfId="41" applyNumberFormat="1" applyFont="1" applyFill="1" applyBorder="1" applyAlignment="1">
      <alignment horizontal="center" vertical="center"/>
    </xf>
    <xf numFmtId="14" fontId="18" fillId="2" borderId="3" xfId="41" applyNumberFormat="1" applyFont="1" applyFill="1" applyBorder="1" applyAlignment="1">
      <alignment horizontal="center" vertical="center"/>
    </xf>
    <xf numFmtId="0" fontId="18" fillId="2" borderId="2" xfId="41" applyFont="1" applyFill="1" applyBorder="1" applyAlignment="1">
      <alignment horizontal="center" vertical="center"/>
    </xf>
    <xf numFmtId="0" fontId="18" fillId="2" borderId="3" xfId="41" applyFont="1" applyFill="1" applyBorder="1" applyAlignment="1">
      <alignment horizontal="center" vertical="center"/>
    </xf>
    <xf numFmtId="0" fontId="18" fillId="0" borderId="2" xfId="4" applyFont="1" applyBorder="1" applyAlignment="1">
      <alignment horizontal="center" vertical="center" readingOrder="2"/>
    </xf>
    <xf numFmtId="0" fontId="18" fillId="0" borderId="7" xfId="4" applyFont="1" applyBorder="1" applyAlignment="1">
      <alignment horizontal="center" vertical="center" readingOrder="2"/>
    </xf>
    <xf numFmtId="0" fontId="18" fillId="0" borderId="3" xfId="4" applyFont="1" applyBorder="1" applyAlignment="1">
      <alignment horizontal="center" vertical="center" readingOrder="2"/>
    </xf>
    <xf numFmtId="0" fontId="15" fillId="3" borderId="1" xfId="41" applyFont="1" applyFill="1" applyBorder="1" applyAlignment="1">
      <alignment horizontal="left" vertical="center"/>
    </xf>
    <xf numFmtId="0" fontId="16" fillId="3" borderId="1" xfId="41" applyFont="1" applyFill="1" applyBorder="1" applyAlignment="1">
      <alignment horizontal="center" vertical="center"/>
    </xf>
    <xf numFmtId="0" fontId="19" fillId="3" borderId="0" xfId="41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14" fontId="7" fillId="5" borderId="4" xfId="0" applyNumberFormat="1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23" fillId="6" borderId="14" xfId="68" applyAlignment="1">
      <alignment horizontal="center" vertical="center"/>
    </xf>
    <xf numFmtId="0" fontId="17" fillId="7" borderId="15" xfId="69" applyFont="1" applyAlignment="1">
      <alignment horizontal="center" vertical="center"/>
    </xf>
    <xf numFmtId="0" fontId="17" fillId="10" borderId="33" xfId="0" applyFont="1" applyFill="1" applyBorder="1" applyAlignment="1">
      <alignment horizontal="center" vertical="center" wrapText="1"/>
    </xf>
    <xf numFmtId="0" fontId="17" fillId="10" borderId="3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10" borderId="8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0" borderId="48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57" xfId="0" applyFont="1" applyFill="1" applyBorder="1" applyAlignment="1">
      <alignment horizontal="center" vertical="center" wrapText="1"/>
    </xf>
    <xf numFmtId="0" fontId="17" fillId="10" borderId="69" xfId="0" applyFont="1" applyFill="1" applyBorder="1" applyAlignment="1">
      <alignment horizontal="center" vertical="center" wrapText="1"/>
    </xf>
    <xf numFmtId="0" fontId="17" fillId="10" borderId="70" xfId="0" applyFont="1" applyFill="1" applyBorder="1" applyAlignment="1">
      <alignment horizontal="center" vertical="center" wrapText="1"/>
    </xf>
    <xf numFmtId="0" fontId="17" fillId="10" borderId="71" xfId="0" applyFont="1" applyFill="1" applyBorder="1" applyAlignment="1">
      <alignment horizontal="center" vertical="center" wrapText="1"/>
    </xf>
    <xf numFmtId="0" fontId="17" fillId="10" borderId="72" xfId="0" applyFont="1" applyFill="1" applyBorder="1" applyAlignment="1">
      <alignment horizontal="center" vertical="center" wrapText="1"/>
    </xf>
    <xf numFmtId="0" fontId="17" fillId="10" borderId="67" xfId="0" applyFont="1" applyFill="1" applyBorder="1" applyAlignment="1">
      <alignment horizontal="center" vertical="center" wrapText="1"/>
    </xf>
    <xf numFmtId="0" fontId="17" fillId="10" borderId="73" xfId="0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wrapText="1"/>
    </xf>
    <xf numFmtId="0" fontId="17" fillId="10" borderId="51" xfId="0" applyFont="1" applyFill="1" applyBorder="1" applyAlignment="1">
      <alignment horizontal="center" vertical="center" wrapText="1"/>
    </xf>
    <xf numFmtId="0" fontId="17" fillId="10" borderId="68" xfId="0" applyFont="1" applyFill="1" applyBorder="1" applyAlignment="1">
      <alignment horizontal="center" vertical="center" wrapText="1"/>
    </xf>
    <xf numFmtId="0" fontId="17" fillId="10" borderId="52" xfId="0" applyFont="1" applyFill="1" applyBorder="1" applyAlignment="1">
      <alignment horizontal="center" vertical="center" wrapText="1"/>
    </xf>
    <xf numFmtId="0" fontId="16" fillId="3" borderId="16" xfId="4" applyFont="1" applyFill="1" applyBorder="1" applyAlignment="1">
      <alignment horizontal="center" vertical="center" wrapText="1"/>
    </xf>
    <xf numFmtId="0" fontId="17" fillId="10" borderId="75" xfId="0" applyFont="1" applyFill="1" applyBorder="1" applyAlignment="1">
      <alignment horizontal="center" vertical="center" wrapText="1"/>
    </xf>
    <xf numFmtId="0" fontId="17" fillId="10" borderId="76" xfId="0" applyFont="1" applyFill="1" applyBorder="1" applyAlignment="1">
      <alignment horizontal="center" vertical="center" wrapText="1"/>
    </xf>
    <xf numFmtId="41" fontId="18" fillId="10" borderId="51" xfId="74" applyFont="1" applyFill="1" applyBorder="1" applyAlignment="1">
      <alignment horizontal="center" vertical="center" wrapText="1"/>
    </xf>
    <xf numFmtId="41" fontId="18" fillId="10" borderId="108" xfId="74" applyFont="1" applyFill="1" applyBorder="1" applyAlignment="1">
      <alignment horizontal="center" vertical="center" wrapText="1"/>
    </xf>
    <xf numFmtId="41" fontId="18" fillId="10" borderId="68" xfId="74" applyFont="1" applyFill="1" applyBorder="1" applyAlignment="1">
      <alignment horizontal="center" vertical="center" wrapText="1"/>
    </xf>
    <xf numFmtId="41" fontId="18" fillId="10" borderId="101" xfId="74" applyFont="1" applyFill="1" applyBorder="1" applyAlignment="1">
      <alignment horizontal="center" vertical="center" wrapText="1"/>
    </xf>
    <xf numFmtId="41" fontId="18" fillId="10" borderId="100" xfId="74" applyFont="1" applyFill="1" applyBorder="1" applyAlignment="1">
      <alignment horizontal="center" vertical="center" wrapText="1"/>
    </xf>
    <xf numFmtId="41" fontId="18" fillId="10" borderId="87" xfId="74" applyFont="1" applyFill="1" applyBorder="1" applyAlignment="1">
      <alignment horizontal="center" vertical="center" wrapText="1"/>
    </xf>
    <xf numFmtId="0" fontId="17" fillId="10" borderId="10" xfId="4" applyNumberFormat="1" applyFont="1" applyFill="1" applyBorder="1" applyAlignment="1">
      <alignment horizontal="center" vertical="center" wrapText="1"/>
    </xf>
    <xf numFmtId="0" fontId="17" fillId="10" borderId="9" xfId="4" applyNumberFormat="1" applyFont="1" applyFill="1" applyBorder="1" applyAlignment="1">
      <alignment horizontal="center" vertical="center" wrapText="1"/>
    </xf>
    <xf numFmtId="0" fontId="17" fillId="10" borderId="35" xfId="4" applyNumberFormat="1" applyFont="1" applyFill="1" applyBorder="1" applyAlignment="1">
      <alignment horizontal="center" vertical="center" wrapText="1"/>
    </xf>
    <xf numFmtId="41" fontId="18" fillId="10" borderId="69" xfId="74" applyFont="1" applyFill="1" applyBorder="1" applyAlignment="1">
      <alignment horizontal="center" vertical="center" wrapText="1"/>
    </xf>
    <xf numFmtId="41" fontId="18" fillId="10" borderId="94" xfId="74" applyFont="1" applyFill="1" applyBorder="1" applyAlignment="1">
      <alignment horizontal="center" vertical="center" wrapText="1"/>
    </xf>
    <xf numFmtId="41" fontId="18" fillId="10" borderId="95" xfId="74" applyFont="1" applyFill="1" applyBorder="1" applyAlignment="1">
      <alignment horizontal="center" vertical="center" wrapText="1"/>
    </xf>
    <xf numFmtId="0" fontId="17" fillId="10" borderId="80" xfId="4" applyNumberFormat="1" applyFont="1" applyFill="1" applyBorder="1" applyAlignment="1">
      <alignment horizontal="center" vertical="center" wrapText="1"/>
    </xf>
    <xf numFmtId="0" fontId="18" fillId="0" borderId="104" xfId="4" applyFont="1" applyBorder="1" applyAlignment="1">
      <alignment horizontal="center" vertical="center" wrapText="1"/>
    </xf>
    <xf numFmtId="0" fontId="18" fillId="0" borderId="103" xfId="4" applyFont="1" applyBorder="1" applyAlignment="1">
      <alignment horizontal="center" vertical="center" wrapText="1"/>
    </xf>
    <xf numFmtId="0" fontId="18" fillId="0" borderId="84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  <xf numFmtId="0" fontId="18" fillId="0" borderId="85" xfId="4" applyFont="1" applyBorder="1" applyAlignment="1">
      <alignment horizontal="center" vertical="center" wrapText="1"/>
    </xf>
    <xf numFmtId="0" fontId="18" fillId="0" borderId="105" xfId="4" applyFont="1" applyBorder="1" applyAlignment="1">
      <alignment horizontal="center" vertical="center" wrapText="1"/>
    </xf>
    <xf numFmtId="0" fontId="17" fillId="10" borderId="33" xfId="4" applyNumberFormat="1" applyFont="1" applyFill="1" applyBorder="1" applyAlignment="1">
      <alignment horizontal="center" vertical="center" wrapText="1"/>
    </xf>
    <xf numFmtId="0" fontId="17" fillId="10" borderId="36" xfId="4" applyNumberFormat="1" applyFont="1" applyFill="1" applyBorder="1" applyAlignment="1">
      <alignment horizontal="center" vertical="center" wrapText="1"/>
    </xf>
    <xf numFmtId="0" fontId="17" fillId="10" borderId="34" xfId="4" applyNumberFormat="1" applyFont="1" applyFill="1" applyBorder="1" applyAlignment="1">
      <alignment horizontal="center" vertical="center" wrapText="1"/>
    </xf>
    <xf numFmtId="41" fontId="18" fillId="10" borderId="99" xfId="74" applyFont="1" applyFill="1" applyBorder="1" applyAlignment="1">
      <alignment horizontal="center" vertical="center" wrapText="1"/>
    </xf>
    <xf numFmtId="0" fontId="18" fillId="0" borderId="69" xfId="4" applyFont="1" applyBorder="1" applyAlignment="1">
      <alignment horizontal="center" vertical="center" wrapText="1"/>
    </xf>
    <xf numFmtId="0" fontId="18" fillId="0" borderId="94" xfId="4" applyFont="1" applyBorder="1" applyAlignment="1">
      <alignment horizontal="center" vertical="center" wrapText="1"/>
    </xf>
    <xf numFmtId="0" fontId="18" fillId="0" borderId="95" xfId="4" applyFont="1" applyBorder="1" applyAlignment="1">
      <alignment horizontal="center" vertical="center" wrapText="1"/>
    </xf>
    <xf numFmtId="0" fontId="18" fillId="0" borderId="92" xfId="4" applyFont="1" applyBorder="1" applyAlignment="1">
      <alignment horizontal="center" vertical="center" wrapText="1"/>
    </xf>
    <xf numFmtId="41" fontId="18" fillId="10" borderId="93" xfId="74" applyFont="1" applyFill="1" applyBorder="1" applyAlignment="1">
      <alignment horizontal="center" vertical="center" wrapText="1"/>
    </xf>
    <xf numFmtId="0" fontId="18" fillId="0" borderId="93" xfId="4" applyFont="1" applyBorder="1" applyAlignment="1">
      <alignment horizontal="center" vertical="center" wrapText="1"/>
    </xf>
    <xf numFmtId="0" fontId="18" fillId="0" borderId="102" xfId="4" applyFont="1" applyBorder="1" applyAlignment="1">
      <alignment horizontal="center" vertical="center" wrapText="1"/>
    </xf>
    <xf numFmtId="0" fontId="18" fillId="0" borderId="109" xfId="4" applyFont="1" applyBorder="1" applyAlignment="1">
      <alignment horizontal="center" vertical="center" wrapText="1"/>
    </xf>
    <xf numFmtId="0" fontId="18" fillId="0" borderId="39" xfId="4" applyFont="1" applyBorder="1" applyAlignment="1">
      <alignment horizontal="center" vertical="center" wrapText="1"/>
    </xf>
    <xf numFmtId="0" fontId="17" fillId="10" borderId="11" xfId="4" applyNumberFormat="1" applyFont="1" applyFill="1" applyBorder="1" applyAlignment="1">
      <alignment horizontal="center" vertical="center" wrapText="1"/>
    </xf>
    <xf numFmtId="0" fontId="17" fillId="10" borderId="51" xfId="4" applyNumberFormat="1" applyFont="1" applyFill="1" applyBorder="1" applyAlignment="1">
      <alignment horizontal="center" vertical="center" wrapText="1"/>
    </xf>
    <xf numFmtId="0" fontId="17" fillId="10" borderId="52" xfId="4" applyNumberFormat="1" applyFont="1" applyFill="1" applyBorder="1" applyAlignment="1">
      <alignment horizontal="center" vertical="center" wrapText="1"/>
    </xf>
    <xf numFmtId="41" fontId="18" fillId="10" borderId="107" xfId="74" applyFont="1" applyFill="1" applyBorder="1" applyAlignment="1">
      <alignment horizontal="center" vertical="center" wrapText="1"/>
    </xf>
    <xf numFmtId="0" fontId="18" fillId="0" borderId="91" xfId="4" applyFont="1" applyFill="1" applyBorder="1" applyAlignment="1">
      <alignment horizontal="left" vertical="center" wrapText="1"/>
    </xf>
    <xf numFmtId="0" fontId="18" fillId="0" borderId="58" xfId="0" applyFont="1" applyBorder="1" applyAlignment="1">
      <alignment horizontal="left" vertical="top" wrapText="1"/>
    </xf>
    <xf numFmtId="0" fontId="18" fillId="0" borderId="79" xfId="0" applyFont="1" applyBorder="1" applyAlignment="1">
      <alignment horizontal="left" vertical="top" wrapText="1"/>
    </xf>
    <xf numFmtId="0" fontId="18" fillId="0" borderId="46" xfId="0" applyFont="1" applyBorder="1" applyAlignment="1">
      <alignment horizontal="left" vertical="top" wrapText="1"/>
    </xf>
    <xf numFmtId="0" fontId="16" fillId="0" borderId="64" xfId="4" applyFont="1" applyBorder="1" applyAlignment="1">
      <alignment horizontal="left" vertical="center"/>
    </xf>
    <xf numFmtId="0" fontId="16" fillId="0" borderId="65" xfId="4" applyFont="1" applyBorder="1" applyAlignment="1">
      <alignment horizontal="left" vertical="center"/>
    </xf>
    <xf numFmtId="0" fontId="16" fillId="0" borderId="66" xfId="4" applyFont="1" applyBorder="1" applyAlignment="1">
      <alignment horizontal="left" vertical="center"/>
    </xf>
    <xf numFmtId="0" fontId="18" fillId="0" borderId="2" xfId="4" applyFont="1" applyBorder="1" applyAlignment="1">
      <alignment horizontal="left" vertical="center"/>
    </xf>
    <xf numFmtId="0" fontId="18" fillId="0" borderId="7" xfId="4" applyFont="1" applyBorder="1" applyAlignment="1">
      <alignment horizontal="left" vertical="center"/>
    </xf>
    <xf numFmtId="0" fontId="18" fillId="0" borderId="3" xfId="4" applyFont="1" applyBorder="1" applyAlignment="1">
      <alignment horizontal="left" vertical="center"/>
    </xf>
    <xf numFmtId="0" fontId="24" fillId="8" borderId="60" xfId="4" applyFont="1" applyFill="1" applyBorder="1" applyAlignment="1">
      <alignment horizontal="left" vertical="center"/>
    </xf>
    <xf numFmtId="0" fontId="24" fillId="8" borderId="61" xfId="4" applyFont="1" applyFill="1" applyBorder="1" applyAlignment="1">
      <alignment horizontal="left" vertical="center"/>
    </xf>
    <xf numFmtId="0" fontId="24" fillId="8" borderId="62" xfId="4" applyFont="1" applyFill="1" applyBorder="1" applyAlignment="1">
      <alignment horizontal="left" vertical="center"/>
    </xf>
    <xf numFmtId="0" fontId="16" fillId="0" borderId="59" xfId="4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6" fillId="0" borderId="63" xfId="4" applyFont="1" applyBorder="1" applyAlignment="1">
      <alignment horizontal="center" vertical="center"/>
    </xf>
    <xf numFmtId="0" fontId="24" fillId="8" borderId="59" xfId="4" applyFont="1" applyFill="1" applyBorder="1" applyAlignment="1">
      <alignment horizontal="left" vertical="center"/>
    </xf>
    <xf numFmtId="0" fontId="24" fillId="8" borderId="0" xfId="4" applyFont="1" applyFill="1" applyAlignment="1">
      <alignment horizontal="left" vertical="center"/>
    </xf>
    <xf numFmtId="0" fontId="24" fillId="8" borderId="63" xfId="4" applyFont="1" applyFill="1" applyBorder="1" applyAlignment="1">
      <alignment horizontal="left" vertical="center"/>
    </xf>
    <xf numFmtId="0" fontId="18" fillId="0" borderId="59" xfId="4" quotePrefix="1" applyFont="1" applyBorder="1" applyAlignment="1">
      <alignment horizontal="left" vertical="center" wrapText="1"/>
    </xf>
    <xf numFmtId="0" fontId="18" fillId="0" borderId="0" xfId="4" applyFont="1" applyAlignment="1">
      <alignment horizontal="left" vertical="center" wrapText="1"/>
    </xf>
    <xf numFmtId="0" fontId="18" fillId="0" borderId="63" xfId="4" applyFont="1" applyBorder="1" applyAlignment="1">
      <alignment horizontal="left" vertical="center" wrapText="1"/>
    </xf>
    <xf numFmtId="0" fontId="18" fillId="0" borderId="19" xfId="4" applyFont="1" applyBorder="1" applyAlignment="1">
      <alignment horizontal="left" vertical="center"/>
    </xf>
    <xf numFmtId="0" fontId="18" fillId="0" borderId="27" xfId="4" applyFont="1" applyBorder="1" applyAlignment="1">
      <alignment horizontal="left" vertical="center"/>
    </xf>
    <xf numFmtId="0" fontId="18" fillId="0" borderId="20" xfId="4" applyFont="1" applyBorder="1" applyAlignment="1">
      <alignment horizontal="left" vertical="center"/>
    </xf>
    <xf numFmtId="0" fontId="18" fillId="0" borderId="17" xfId="4" applyFont="1" applyBorder="1" applyAlignment="1">
      <alignment horizontal="left" vertical="center"/>
    </xf>
    <xf numFmtId="0" fontId="28" fillId="9" borderId="24" xfId="0" applyFont="1" applyFill="1" applyBorder="1" applyAlignment="1">
      <alignment horizontal="center" vertical="center"/>
    </xf>
    <xf numFmtId="0" fontId="28" fillId="9" borderId="29" xfId="0" applyFont="1" applyFill="1" applyBorder="1" applyAlignment="1">
      <alignment horizontal="center" vertical="center"/>
    </xf>
    <xf numFmtId="0" fontId="28" fillId="9" borderId="31" xfId="0" applyFont="1" applyFill="1" applyBorder="1" applyAlignment="1">
      <alignment horizontal="center" vertical="center"/>
    </xf>
    <xf numFmtId="0" fontId="28" fillId="9" borderId="26" xfId="0" applyFont="1" applyFill="1" applyBorder="1" applyAlignment="1">
      <alignment horizontal="center" vertical="center"/>
    </xf>
    <xf numFmtId="0" fontId="28" fillId="9" borderId="28" xfId="0" applyFont="1" applyFill="1" applyBorder="1" applyAlignment="1">
      <alignment horizontal="center" vertical="center"/>
    </xf>
    <xf numFmtId="0" fontId="28" fillId="9" borderId="25" xfId="0" applyFont="1" applyFill="1" applyBorder="1" applyAlignment="1">
      <alignment horizontal="center" vertical="center"/>
    </xf>
    <xf numFmtId="0" fontId="15" fillId="0" borderId="24" xfId="4" applyNumberFormat="1" applyFont="1" applyFill="1" applyBorder="1" applyAlignment="1">
      <alignment horizontal="center" vertical="center"/>
    </xf>
    <xf numFmtId="0" fontId="28" fillId="9" borderId="24" xfId="0" applyFont="1" applyFill="1" applyBorder="1" applyAlignment="1">
      <alignment horizontal="center" vertical="center" shrinkToFit="1"/>
    </xf>
    <xf numFmtId="0" fontId="42" fillId="0" borderId="16" xfId="0" applyFont="1" applyBorder="1">
      <alignment vertical="center"/>
    </xf>
    <xf numFmtId="41" fontId="18" fillId="0" borderId="16" xfId="74" applyFont="1" applyBorder="1" applyAlignment="1">
      <alignment vertical="center"/>
    </xf>
    <xf numFmtId="0" fontId="18" fillId="0" borderId="17" xfId="4" applyFont="1" applyBorder="1" applyAlignment="1">
      <alignment horizontal="center" vertical="center"/>
    </xf>
    <xf numFmtId="0" fontId="18" fillId="0" borderId="20" xfId="4" applyFont="1" applyBorder="1" applyAlignment="1">
      <alignment vertical="center"/>
    </xf>
    <xf numFmtId="0" fontId="18" fillId="0" borderId="24" xfId="4" applyNumberFormat="1" applyFont="1" applyFill="1" applyBorder="1" applyAlignment="1">
      <alignment horizontal="center" vertical="center"/>
    </xf>
    <xf numFmtId="41" fontId="18" fillId="0" borderId="24" xfId="74" applyNumberFormat="1" applyFont="1" applyFill="1" applyBorder="1" applyAlignment="1">
      <alignment vertical="center"/>
    </xf>
    <xf numFmtId="0" fontId="18" fillId="0" borderId="24" xfId="4" applyNumberFormat="1" applyFont="1" applyFill="1" applyBorder="1" applyAlignment="1">
      <alignment vertical="center"/>
    </xf>
    <xf numFmtId="41" fontId="18" fillId="0" borderId="24" xfId="74" applyNumberFormat="1" applyFont="1" applyFill="1" applyBorder="1">
      <alignment vertical="center"/>
    </xf>
    <xf numFmtId="0" fontId="18" fillId="0" borderId="18" xfId="4" applyFont="1" applyBorder="1" applyAlignment="1">
      <alignment horizontal="center" vertical="center"/>
    </xf>
    <xf numFmtId="41" fontId="18" fillId="0" borderId="18" xfId="74" applyFont="1" applyBorder="1" applyAlignment="1">
      <alignment vertical="center"/>
    </xf>
    <xf numFmtId="0" fontId="18" fillId="0" borderId="18" xfId="4" applyFont="1" applyBorder="1" applyAlignment="1">
      <alignment vertical="center"/>
    </xf>
    <xf numFmtId="41" fontId="28" fillId="9" borderId="24" xfId="74" applyNumberFormat="1" applyFont="1" applyFill="1" applyBorder="1" applyAlignment="1">
      <alignment horizontal="center" vertical="center" shrinkToFit="1"/>
    </xf>
    <xf numFmtId="0" fontId="28" fillId="9" borderId="24" xfId="0" applyFont="1" applyFill="1" applyBorder="1" applyAlignment="1">
      <alignment horizontal="center" vertical="center" shrinkToFit="1"/>
    </xf>
    <xf numFmtId="41" fontId="28" fillId="9" borderId="24" xfId="74" applyNumberFormat="1" applyFont="1" applyFill="1" applyBorder="1" applyAlignment="1">
      <alignment horizontal="center" vertical="center" shrinkToFit="1"/>
    </xf>
    <xf numFmtId="0" fontId="28" fillId="9" borderId="24" xfId="4" applyNumberFormat="1" applyFont="1" applyFill="1" applyBorder="1" applyAlignment="1">
      <alignment horizontal="center" vertical="center" shrinkToFit="1"/>
    </xf>
    <xf numFmtId="49" fontId="18" fillId="0" borderId="24" xfId="4" applyNumberFormat="1" applyFont="1" applyFill="1" applyBorder="1" applyAlignment="1">
      <alignment horizontal="center" vertical="center"/>
    </xf>
    <xf numFmtId="0" fontId="18" fillId="16" borderId="24" xfId="4" applyNumberFormat="1" applyFont="1" applyFill="1" applyBorder="1" applyAlignment="1">
      <alignment horizontal="center" vertical="center"/>
    </xf>
    <xf numFmtId="49" fontId="18" fillId="16" borderId="24" xfId="4" applyNumberFormat="1" applyFont="1" applyFill="1" applyBorder="1" applyAlignment="1">
      <alignment horizontal="center" vertical="center"/>
    </xf>
    <xf numFmtId="0" fontId="15" fillId="0" borderId="111" xfId="4" applyFont="1" applyBorder="1" applyAlignment="1">
      <alignment horizontal="center" vertical="center"/>
    </xf>
    <xf numFmtId="0" fontId="15" fillId="17" borderId="111" xfId="4" applyFont="1" applyFill="1" applyBorder="1" applyAlignment="1">
      <alignment horizontal="center" vertical="center"/>
    </xf>
    <xf numFmtId="9" fontId="18" fillId="0" borderId="24" xfId="4" applyNumberFormat="1" applyFont="1" applyFill="1" applyBorder="1" applyAlignment="1">
      <alignment horizontal="center" vertical="center"/>
    </xf>
    <xf numFmtId="0" fontId="17" fillId="10" borderId="55" xfId="74" applyNumberFormat="1" applyFont="1" applyFill="1" applyBorder="1" applyAlignment="1">
      <alignment horizontal="center" vertical="center" wrapText="1"/>
    </xf>
    <xf numFmtId="0" fontId="17" fillId="10" borderId="71" xfId="74" applyNumberFormat="1" applyFont="1" applyFill="1" applyBorder="1" applyAlignment="1">
      <alignment horizontal="center" vertical="center" wrapText="1"/>
    </xf>
    <xf numFmtId="0" fontId="17" fillId="10" borderId="112" xfId="74" applyNumberFormat="1" applyFont="1" applyFill="1" applyBorder="1" applyAlignment="1">
      <alignment horizontal="center" vertical="center" wrapText="1"/>
    </xf>
    <xf numFmtId="49" fontId="18" fillId="0" borderId="46" xfId="4" applyNumberFormat="1" applyFont="1" applyBorder="1" applyAlignment="1">
      <alignment horizontal="center" vertical="center" wrapText="1"/>
    </xf>
    <xf numFmtId="49" fontId="18" fillId="0" borderId="58" xfId="4" applyNumberFormat="1" applyFont="1" applyBorder="1" applyAlignment="1">
      <alignment horizontal="center" vertical="center" wrapText="1"/>
    </xf>
    <xf numFmtId="49" fontId="18" fillId="0" borderId="36" xfId="4" applyNumberFormat="1" applyFont="1" applyBorder="1" applyAlignment="1">
      <alignment horizontal="center" vertical="center" wrapText="1"/>
    </xf>
    <xf numFmtId="49" fontId="18" fillId="0" borderId="40" xfId="4" applyNumberFormat="1" applyFont="1" applyBorder="1" applyAlignment="1">
      <alignment horizontal="center" vertical="center" wrapText="1"/>
    </xf>
    <xf numFmtId="49" fontId="18" fillId="0" borderId="79" xfId="4" applyNumberFormat="1" applyFont="1" applyBorder="1" applyAlignment="1">
      <alignment horizontal="center" vertical="center" wrapText="1"/>
    </xf>
    <xf numFmtId="49" fontId="18" fillId="0" borderId="36" xfId="4" applyNumberFormat="1" applyFont="1" applyBorder="1" applyAlignment="1">
      <alignment vertical="center" wrapText="1"/>
    </xf>
    <xf numFmtId="49" fontId="18" fillId="0" borderId="40" xfId="4" applyNumberFormat="1" applyFont="1" applyBorder="1" applyAlignment="1">
      <alignment vertical="center" wrapText="1"/>
    </xf>
    <xf numFmtId="49" fontId="18" fillId="0" borderId="82" xfId="4" applyNumberFormat="1" applyFont="1" applyBorder="1" applyAlignment="1">
      <alignment horizontal="center" vertical="center" wrapText="1"/>
    </xf>
    <xf numFmtId="9" fontId="18" fillId="0" borderId="46" xfId="4" applyNumberFormat="1" applyFont="1" applyBorder="1" applyAlignment="1">
      <alignment horizontal="center" vertical="center" wrapText="1"/>
    </xf>
    <xf numFmtId="9" fontId="18" fillId="0" borderId="58" xfId="4" applyNumberFormat="1" applyFont="1" applyBorder="1" applyAlignment="1">
      <alignment horizontal="center" vertical="center" wrapText="1"/>
    </xf>
    <xf numFmtId="9" fontId="18" fillId="0" borderId="36" xfId="4" applyNumberFormat="1" applyFont="1" applyBorder="1" applyAlignment="1">
      <alignment horizontal="center" vertical="center" wrapText="1"/>
    </xf>
    <xf numFmtId="9" fontId="18" fillId="0" borderId="40" xfId="4" applyNumberFormat="1" applyFont="1" applyBorder="1" applyAlignment="1">
      <alignment horizontal="center" vertical="center" wrapText="1"/>
    </xf>
    <xf numFmtId="9" fontId="18" fillId="0" borderId="79" xfId="4" applyNumberFormat="1" applyFont="1" applyBorder="1" applyAlignment="1">
      <alignment horizontal="center" vertical="center" wrapText="1"/>
    </xf>
    <xf numFmtId="9" fontId="18" fillId="0" borderId="82" xfId="4" applyNumberFormat="1" applyFont="1" applyBorder="1" applyAlignment="1">
      <alignment horizontal="center" vertical="center" wrapText="1"/>
    </xf>
    <xf numFmtId="9" fontId="18" fillId="0" borderId="0" xfId="0" applyNumberFormat="1" applyFont="1" applyBorder="1" applyAlignment="1">
      <alignment horizontal="center" vertical="center" wrapText="1"/>
    </xf>
    <xf numFmtId="41" fontId="18" fillId="14" borderId="36" xfId="74" applyFont="1" applyFill="1" applyBorder="1" applyAlignment="1">
      <alignment horizontal="left" vertical="center" wrapText="1"/>
    </xf>
    <xf numFmtId="0" fontId="15" fillId="0" borderId="24" xfId="4" applyNumberFormat="1" applyFont="1" applyFill="1" applyBorder="1" applyAlignment="1">
      <alignment horizontal="center" vertical="center"/>
    </xf>
    <xf numFmtId="179" fontId="15" fillId="0" borderId="24" xfId="4" applyNumberFormat="1" applyFont="1" applyFill="1" applyBorder="1" applyAlignment="1">
      <alignment horizontal="center" vertical="center"/>
    </xf>
    <xf numFmtId="0" fontId="15" fillId="0" borderId="24" xfId="74" applyNumberFormat="1" applyFont="1" applyBorder="1" applyAlignment="1">
      <alignment horizontal="center" vertical="center"/>
    </xf>
    <xf numFmtId="41" fontId="15" fillId="0" borderId="24" xfId="74" applyFont="1" applyBorder="1" applyAlignment="1">
      <alignment horizontal="center" vertical="center"/>
    </xf>
    <xf numFmtId="0" fontId="15" fillId="0" borderId="24" xfId="4" applyFont="1" applyBorder="1" applyAlignment="1">
      <alignment horizontal="center" vertical="center"/>
    </xf>
    <xf numFmtId="0" fontId="28" fillId="9" borderId="26" xfId="0" applyFont="1" applyFill="1" applyBorder="1" applyAlignment="1">
      <alignment horizontal="center" vertical="center" shrinkToFit="1"/>
    </xf>
    <xf numFmtId="0" fontId="28" fillId="9" borderId="28" xfId="0" applyFont="1" applyFill="1" applyBorder="1" applyAlignment="1">
      <alignment horizontal="center" vertical="center" shrinkToFit="1"/>
    </xf>
    <xf numFmtId="0" fontId="28" fillId="9" borderId="25" xfId="0" applyFont="1" applyFill="1" applyBorder="1" applyAlignment="1">
      <alignment horizontal="center" vertical="center" shrinkToFit="1"/>
    </xf>
    <xf numFmtId="41" fontId="18" fillId="0" borderId="46" xfId="4" applyNumberFormat="1" applyFont="1" applyBorder="1" applyAlignment="1">
      <alignment horizontal="center" vertical="center" wrapText="1"/>
    </xf>
    <xf numFmtId="41" fontId="18" fillId="0" borderId="58" xfId="4" applyNumberFormat="1" applyFont="1" applyBorder="1" applyAlignment="1">
      <alignment horizontal="center" vertical="center" wrapText="1"/>
    </xf>
    <xf numFmtId="41" fontId="18" fillId="0" borderId="36" xfId="4" applyNumberFormat="1" applyFont="1" applyBorder="1" applyAlignment="1">
      <alignment horizontal="center" vertical="center" wrapText="1"/>
    </xf>
    <xf numFmtId="41" fontId="18" fillId="0" borderId="40" xfId="4" applyNumberFormat="1" applyFont="1" applyBorder="1" applyAlignment="1">
      <alignment horizontal="center" vertical="center" wrapText="1"/>
    </xf>
    <xf numFmtId="41" fontId="18" fillId="0" borderId="79" xfId="4" applyNumberFormat="1" applyFont="1" applyBorder="1" applyAlignment="1">
      <alignment horizontal="center" vertical="center" wrapText="1"/>
    </xf>
    <xf numFmtId="41" fontId="18" fillId="0" borderId="82" xfId="4" applyNumberFormat="1" applyFont="1" applyBorder="1" applyAlignment="1">
      <alignment horizontal="center" vertical="center" wrapText="1"/>
    </xf>
  </cellXfs>
  <cellStyles count="75">
    <cellStyle name="계산" xfId="68" builtinId="22"/>
    <cellStyle name="나쁨" xfId="71" builtinId="27"/>
    <cellStyle name="메모" xfId="69" builtinId="10"/>
    <cellStyle name="백분율" xfId="67" builtinId="5"/>
    <cellStyle name="보통" xfId="72" builtinId="28"/>
    <cellStyle name="쉼표 [0]" xfId="74" builtinId="6"/>
    <cellStyle name="좋음" xfId="70" builtinId="26"/>
    <cellStyle name="표준" xfId="0" builtinId="0"/>
    <cellStyle name="표준 10" xfId="1" xr:uid="{00000000-0005-0000-0000-000001000000}"/>
    <cellStyle name="표준 10 2" xfId="2" xr:uid="{00000000-0005-0000-0000-000002000000}"/>
    <cellStyle name="표준 10 2 2" xfId="3" xr:uid="{00000000-0005-0000-0000-000003000000}"/>
    <cellStyle name="표준 2" xfId="4" xr:uid="{00000000-0005-0000-0000-000004000000}"/>
    <cellStyle name="표준 2 2" xfId="5" xr:uid="{00000000-0005-0000-0000-000005000000}"/>
    <cellStyle name="표준 2 2 2" xfId="6" xr:uid="{00000000-0005-0000-0000-000006000000}"/>
    <cellStyle name="표준 2 2 2 2" xfId="7" xr:uid="{00000000-0005-0000-0000-000007000000}"/>
    <cellStyle name="표준 2 2 2 2 2" xfId="8" xr:uid="{00000000-0005-0000-0000-000008000000}"/>
    <cellStyle name="표준 2 2 2 2 3" xfId="9" xr:uid="{00000000-0005-0000-0000-000009000000}"/>
    <cellStyle name="표준 2 2 2 3" xfId="10" xr:uid="{00000000-0005-0000-0000-00000A000000}"/>
    <cellStyle name="표준 2 2 2 4" xfId="11" xr:uid="{00000000-0005-0000-0000-00000B000000}"/>
    <cellStyle name="표준 2 2 3" xfId="12" xr:uid="{00000000-0005-0000-0000-00000C000000}"/>
    <cellStyle name="표준 2 2 3 2" xfId="13" xr:uid="{00000000-0005-0000-0000-00000D000000}"/>
    <cellStyle name="표준 2 2 3 2 2" xfId="14" xr:uid="{00000000-0005-0000-0000-00000E000000}"/>
    <cellStyle name="표준 2 2 3 2 3" xfId="15" xr:uid="{00000000-0005-0000-0000-00000F000000}"/>
    <cellStyle name="표준 2 2 3 3" xfId="16" xr:uid="{00000000-0005-0000-0000-000010000000}"/>
    <cellStyle name="표준 2 2 3 4" xfId="17" xr:uid="{00000000-0005-0000-0000-000011000000}"/>
    <cellStyle name="표준 2 2 4" xfId="18" xr:uid="{00000000-0005-0000-0000-000012000000}"/>
    <cellStyle name="표준 2 2 5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3 2 2" xfId="22" xr:uid="{00000000-0005-0000-0000-000016000000}"/>
    <cellStyle name="표준 2 3 2 3" xfId="23" xr:uid="{00000000-0005-0000-0000-000017000000}"/>
    <cellStyle name="표준 2 3 3" xfId="24" xr:uid="{00000000-0005-0000-0000-000018000000}"/>
    <cellStyle name="표준 2 3 3 2" xfId="25" xr:uid="{00000000-0005-0000-0000-000019000000}"/>
    <cellStyle name="표준 2 3 4" xfId="26" xr:uid="{00000000-0005-0000-0000-00001A000000}"/>
    <cellStyle name="표준 2 3 5" xfId="27" xr:uid="{00000000-0005-0000-0000-00001B000000}"/>
    <cellStyle name="표준 2 4" xfId="28" xr:uid="{00000000-0005-0000-0000-00001C000000}"/>
    <cellStyle name="표준 2 4 2" xfId="29" xr:uid="{00000000-0005-0000-0000-00001D000000}"/>
    <cellStyle name="표준 2 4 2 2" xfId="30" xr:uid="{00000000-0005-0000-0000-00001E000000}"/>
    <cellStyle name="표준 2 4 2 3" xfId="31" xr:uid="{00000000-0005-0000-0000-00001F000000}"/>
    <cellStyle name="표준 2 4 3" xfId="32" xr:uid="{00000000-0005-0000-0000-000020000000}"/>
    <cellStyle name="표준 2 4 4" xfId="33" xr:uid="{00000000-0005-0000-0000-000021000000}"/>
    <cellStyle name="표준 2 5" xfId="34" xr:uid="{00000000-0005-0000-0000-000022000000}"/>
    <cellStyle name="표준 2 5 2" xfId="35" xr:uid="{00000000-0005-0000-0000-000023000000}"/>
    <cellStyle name="표준 2 5 3" xfId="36" xr:uid="{00000000-0005-0000-0000-000024000000}"/>
    <cellStyle name="표준 2 6" xfId="37" xr:uid="{00000000-0005-0000-0000-000025000000}"/>
    <cellStyle name="표준 2 6 2" xfId="38" xr:uid="{00000000-0005-0000-0000-000026000000}"/>
    <cellStyle name="표준 2 7" xfId="39" xr:uid="{00000000-0005-0000-0000-000027000000}"/>
    <cellStyle name="표준 2 8" xfId="40" xr:uid="{00000000-0005-0000-0000-000028000000}"/>
    <cellStyle name="표준 3" xfId="41" xr:uid="{00000000-0005-0000-0000-000029000000}"/>
    <cellStyle name="표준 3 2" xfId="42" xr:uid="{00000000-0005-0000-0000-00002A000000}"/>
    <cellStyle name="표준 3 3" xfId="43" xr:uid="{00000000-0005-0000-0000-00002B000000}"/>
    <cellStyle name="표준 3 4" xfId="44" xr:uid="{00000000-0005-0000-0000-00002C000000}"/>
    <cellStyle name="표준 4" xfId="45" xr:uid="{00000000-0005-0000-0000-00002D000000}"/>
    <cellStyle name="표준 4 2" xfId="46" xr:uid="{00000000-0005-0000-0000-00002E000000}"/>
    <cellStyle name="표준 4 2 2" xfId="47" xr:uid="{00000000-0005-0000-0000-00002F000000}"/>
    <cellStyle name="표준 4 2 3" xfId="48" xr:uid="{00000000-0005-0000-0000-000030000000}"/>
    <cellStyle name="표준 4 2 4" xfId="49" xr:uid="{00000000-0005-0000-0000-000031000000}"/>
    <cellStyle name="표준 4 3" xfId="50" xr:uid="{00000000-0005-0000-0000-000032000000}"/>
    <cellStyle name="표준 4 4" xfId="51" xr:uid="{00000000-0005-0000-0000-000033000000}"/>
    <cellStyle name="표준 4 5" xfId="73" xr:uid="{26F6EF37-57E1-4130-9A83-B7635EEA45E4}"/>
    <cellStyle name="표준 5" xfId="52" xr:uid="{00000000-0005-0000-0000-000034000000}"/>
    <cellStyle name="표준 5 2" xfId="53" xr:uid="{00000000-0005-0000-0000-000035000000}"/>
    <cellStyle name="표준 5 3" xfId="54" xr:uid="{00000000-0005-0000-0000-000036000000}"/>
    <cellStyle name="표준 5 4" xfId="55" xr:uid="{00000000-0005-0000-0000-000037000000}"/>
    <cellStyle name="표준 6" xfId="56" xr:uid="{00000000-0005-0000-0000-000038000000}"/>
    <cellStyle name="표준 6 10" xfId="57" xr:uid="{00000000-0005-0000-0000-000039000000}"/>
    <cellStyle name="표준 7" xfId="58" xr:uid="{00000000-0005-0000-0000-00003A000000}"/>
    <cellStyle name="표준 7 2" xfId="59" xr:uid="{00000000-0005-0000-0000-00003B000000}"/>
    <cellStyle name="표준 8" xfId="60" xr:uid="{00000000-0005-0000-0000-00003C000000}"/>
    <cellStyle name="표준 9" xfId="61" xr:uid="{00000000-0005-0000-0000-00003D000000}"/>
    <cellStyle name="표준_IA 사이트구조도_Index_20021209_사이트리뉴얼_허윤희" xfId="66" xr:uid="{00000000-0005-0000-0000-00003E000000}"/>
    <cellStyle name="표준_PMC_이슈_Action Item 관리대장_v2.0" xfId="62" xr:uid="{00000000-0005-0000-0000-00003F000000}"/>
    <cellStyle name="하이퍼링크 2" xfId="63" xr:uid="{00000000-0005-0000-0000-000040000000}"/>
    <cellStyle name="하이퍼링크 2 2" xfId="64" xr:uid="{00000000-0005-0000-0000-000041000000}"/>
    <cellStyle name="하이퍼링크 2 3" xfId="65" xr:uid="{00000000-0005-0000-0000-000042000000}"/>
  </cellStyles>
  <dxfs count="149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theme="0"/>
      </font>
      <fill>
        <patternFill>
          <bgColor theme="1" tint="0.34998626667073579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 tint="-0.24994659260841701"/>
      </font>
      <fill>
        <patternFill>
          <bgColor rgb="FFFFFF99"/>
        </patternFill>
      </fill>
    </dxf>
    <dxf>
      <font>
        <color rgb="FF009900"/>
      </font>
      <fill>
        <patternFill>
          <bgColor theme="6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rgb="FF000000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strike val="0"/>
        <outline val="0"/>
        <shadow val="0"/>
        <u val="none"/>
        <vertAlign val="baseline"/>
        <sz val="9"/>
        <name val="맑은 고딕"/>
        <family val="3"/>
        <charset val="129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outline="0">
        <right style="thin">
          <color theme="0" tint="-0.499984740745262"/>
        </right>
      </border>
    </dxf>
    <dxf>
      <font>
        <strike val="0"/>
        <outline val="0"/>
        <shadow val="0"/>
        <u val="none"/>
        <vertAlign val="baseline"/>
        <sz val="10"/>
        <name val="맑은 고딕"/>
        <family val="3"/>
        <charset val="129"/>
      </font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numFmt numFmtId="178" formatCode="0_ 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theme="0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맑은 고딕"/>
        <family val="3"/>
        <charset val="129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0.14996795556505021"/>
        </patternFill>
      </fill>
    </dxf>
    <dxf>
      <fill>
        <patternFill patternType="none"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표 스타일 1" defaultPivotStyle="PivotStyleLight16">
    <tableStyle name="표 스타일 1" pivot="0" count="3" xr9:uid="{31611E4E-8E5F-4651-9852-8B822E20796C}">
      <tableStyleElement type="wholeTable" dxfId="148"/>
      <tableStyleElement type="headerRow" dxfId="147"/>
      <tableStyleElement type="firstColumnStripe" dxfId="146"/>
    </tableStyle>
  </tableStyles>
  <colors>
    <mruColors>
      <color rgb="FF0099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344979</xdr:colOff>
      <xdr:row>8</xdr:row>
      <xdr:rowOff>11084</xdr:rowOff>
    </xdr:from>
    <xdr:to>
      <xdr:col>7</xdr:col>
      <xdr:colOff>344979</xdr:colOff>
      <xdr:row>10</xdr:row>
      <xdr:rowOff>101139</xdr:rowOff>
    </xdr:to>
    <xdr:sp macro="" textlink="">
      <xdr:nvSpPr>
        <xdr:cNvPr id="9" name="Line 7">
          <a:extLst>
            <a:ext uri="{FF2B5EF4-FFF2-40B4-BE49-F238E27FC236}">
              <a16:creationId xmlns:a16="http://schemas.microsoft.com/office/drawing/2014/main" id="{86125325-E5CF-4359-9C0F-BA6A69886908}"/>
            </a:ext>
          </a:extLst>
        </xdr:cNvPr>
        <xdr:cNvSpPr>
          <a:spLocks noChangeShapeType="1"/>
        </xdr:cNvSpPr>
      </xdr:nvSpPr>
      <xdr:spPr bwMode="auto">
        <a:xfrm>
          <a:off x="4476404" y="1241368"/>
          <a:ext cx="0" cy="422564"/>
        </a:xfrm>
        <a:prstGeom prst="line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600952</xdr:colOff>
      <xdr:row>6</xdr:row>
      <xdr:rowOff>49876</xdr:rowOff>
    </xdr:from>
    <xdr:ext cx="4700582" cy="1017001"/>
    <xdr:sp macro="" textlink="">
      <xdr:nvSpPr>
        <xdr:cNvPr id="10" name="Text Box 8">
          <a:extLst>
            <a:ext uri="{FF2B5EF4-FFF2-40B4-BE49-F238E27FC236}">
              <a16:creationId xmlns:a16="http://schemas.microsoft.com/office/drawing/2014/main" id="{4CC414E7-D5B2-4391-B25F-DDC96EEC4281}"/>
            </a:ext>
          </a:extLst>
        </xdr:cNvPr>
        <xdr:cNvSpPr txBox="1">
          <a:spLocks noChangeArrowheads="1"/>
        </xdr:cNvSpPr>
      </xdr:nvSpPr>
      <xdr:spPr bwMode="auto">
        <a:xfrm>
          <a:off x="600952" y="964276"/>
          <a:ext cx="4700582" cy="1017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118800" rIns="91440" bIns="45720" anchor="t" upright="1">
          <a:spAutoFit/>
        </a:bodyPr>
        <a:lstStyle/>
        <a:p>
          <a:pPr algn="r" rtl="1">
            <a:defRPr sz="1000"/>
          </a:pPr>
          <a:r>
            <a:rPr lang="en-US" altLang="ko-KR" sz="16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[</a:t>
          </a:r>
          <a:r>
            <a:rPr lang="ko-KR" altLang="en-US" sz="16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주문</a:t>
          </a:r>
          <a:r>
            <a:rPr lang="en-US" altLang="ko-KR" sz="16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/</a:t>
          </a:r>
          <a:r>
            <a:rPr lang="ko-KR" altLang="en-US" sz="16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클레임</a:t>
          </a:r>
          <a:r>
            <a:rPr lang="en-US" altLang="ko-KR" sz="16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/AS] </a:t>
          </a:r>
          <a:r>
            <a:rPr lang="ko-KR" altLang="en-US" sz="1600" b="0" i="0" strike="noStrike">
              <a:solidFill>
                <a:srgbClr val="333399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통합테스트 시나리오 및 결과서</a:t>
          </a:r>
        </a:p>
        <a:p>
          <a:pPr algn="r" rtl="1">
            <a:defRPr sz="1000"/>
          </a:pPr>
          <a:r>
            <a:rPr lang="en-US" altLang="ko-KR" sz="1200" b="0" i="0" strike="noStrike">
              <a:solidFill>
                <a:srgbClr val="000000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Arial"/>
            </a:rPr>
            <a:t>3TOP Project Management Methodology</a:t>
          </a:r>
        </a:p>
        <a:p>
          <a:pPr algn="r" rtl="1">
            <a:defRPr sz="1000"/>
          </a:pPr>
          <a:endParaRPr lang="en-US" altLang="ko-KR" sz="1200" b="0" i="0" strike="noStrike">
            <a:solidFill>
              <a:srgbClr val="000000"/>
            </a:solidFill>
            <a:latin typeface="나눔고딕 ExtraBold" pitchFamily="50" charset="-127"/>
            <a:ea typeface="나눔고딕 ExtraBold" pitchFamily="50" charset="-127"/>
            <a:cs typeface="Arial"/>
          </a:endParaRPr>
        </a:p>
      </xdr:txBody>
    </xdr:sp>
    <xdr:clientData/>
  </xdr:oneCellAnchor>
  <xdr:twoCellAnchor>
    <xdr:from>
      <xdr:col>7</xdr:col>
      <xdr:colOff>570808</xdr:colOff>
      <xdr:row>8</xdr:row>
      <xdr:rowOff>133176</xdr:rowOff>
    </xdr:from>
    <xdr:to>
      <xdr:col>9</xdr:col>
      <xdr:colOff>370783</xdr:colOff>
      <xdr:row>12</xdr:row>
      <xdr:rowOff>85551</xdr:rowOff>
    </xdr:to>
    <xdr:sp macro="" textlink="">
      <xdr:nvSpPr>
        <xdr:cNvPr id="11" name="Text Box 36">
          <a:extLst>
            <a:ext uri="{FF2B5EF4-FFF2-40B4-BE49-F238E27FC236}">
              <a16:creationId xmlns:a16="http://schemas.microsoft.com/office/drawing/2014/main" id="{9A0E6239-B912-4FFA-9A67-9A40F23A2635}"/>
            </a:ext>
          </a:extLst>
        </xdr:cNvPr>
        <xdr:cNvSpPr txBox="1">
          <a:spLocks noChangeArrowheads="1"/>
        </xdr:cNvSpPr>
      </xdr:nvSpPr>
      <xdr:spPr bwMode="auto">
        <a:xfrm>
          <a:off x="4702233" y="1363460"/>
          <a:ext cx="980383" cy="61739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73152" tIns="54864" rIns="0" bIns="0" anchor="t" upright="1"/>
        <a:lstStyle/>
        <a:p>
          <a:pPr algn="l" rtl="0">
            <a:defRPr sz="1000"/>
          </a:pPr>
          <a:r>
            <a:rPr lang="en-US" altLang="ko-KR" sz="1600" b="0" i="0" strike="noStrike">
              <a:solidFill>
                <a:srgbClr val="808080"/>
              </a:solidFill>
              <a:latin typeface="나눔고딕" pitchFamily="50" charset="-127"/>
              <a:ea typeface="나눔고딕" pitchFamily="50" charset="-127"/>
            </a:rPr>
            <a:t>v0.71</a:t>
          </a:r>
        </a:p>
      </xdr:txBody>
    </xdr:sp>
    <xdr:clientData/>
  </xdr:twoCellAnchor>
  <xdr:twoCellAnchor editAs="oneCell">
    <xdr:from>
      <xdr:col>1</xdr:col>
      <xdr:colOff>0</xdr:colOff>
      <xdr:row>1</xdr:row>
      <xdr:rowOff>38100</xdr:rowOff>
    </xdr:from>
    <xdr:to>
      <xdr:col>2</xdr:col>
      <xdr:colOff>104775</xdr:colOff>
      <xdr:row>3</xdr:row>
      <xdr:rowOff>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4F70070-1F88-4AC9-A9D5-2F717005C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866775" cy="266700"/>
        </a:xfrm>
        <a:prstGeom prst="rect">
          <a:avLst/>
        </a:prstGeom>
      </xdr:spPr>
    </xdr:pic>
    <xdr:clientData/>
  </xdr:twoCellAnchor>
  <xdr:twoCellAnchor>
    <xdr:from>
      <xdr:col>8</xdr:col>
      <xdr:colOff>171449</xdr:colOff>
      <xdr:row>27</xdr:row>
      <xdr:rowOff>85725</xdr:rowOff>
    </xdr:from>
    <xdr:to>
      <xdr:col>9</xdr:col>
      <xdr:colOff>15239</xdr:colOff>
      <xdr:row>28</xdr:row>
      <xdr:rowOff>108585</xdr:rowOff>
    </xdr:to>
    <xdr:pic>
      <xdr:nvPicPr>
        <xdr:cNvPr id="15" name="그림 14" descr="3top_logo">
          <a:extLst>
            <a:ext uri="{FF2B5EF4-FFF2-40B4-BE49-F238E27FC236}">
              <a16:creationId xmlns:a16="http://schemas.microsoft.com/office/drawing/2014/main" id="{3762C36A-CE35-42D5-821D-A379DCE84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7449" y="6334125"/>
          <a:ext cx="605790" cy="194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7</xdr:col>
          <xdr:colOff>28575</xdr:colOff>
          <xdr:row>3</xdr:row>
          <xdr:rowOff>95250</xdr:rowOff>
        </xdr:to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23FD9C74-9548-46CD-9737-3BD5F724049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187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1001077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185478</xdr:colOff>
      <xdr:row>1</xdr:row>
      <xdr:rowOff>76200</xdr:rowOff>
    </xdr:from>
    <xdr:to>
      <xdr:col>0</xdr:col>
      <xdr:colOff>944187</xdr:colOff>
      <xdr:row>2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6380043-3348-4F47-81F5-17D4D3F59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78" y="417022"/>
          <a:ext cx="758709" cy="264968"/>
        </a:xfrm>
        <a:prstGeom prst="rect">
          <a:avLst/>
        </a:prstGeom>
      </xdr:spPr>
    </xdr:pic>
    <xdr:clientData/>
  </xdr:twoCellAnchor>
  <xdr:oneCellAnchor>
    <xdr:from>
      <xdr:col>0</xdr:col>
      <xdr:colOff>185478</xdr:colOff>
      <xdr:row>5</xdr:row>
      <xdr:rowOff>76200</xdr:rowOff>
    </xdr:from>
    <xdr:ext cx="758709" cy="266700"/>
    <xdr:pic>
      <xdr:nvPicPr>
        <xdr:cNvPr id="5" name="그림 4">
          <a:extLst>
            <a:ext uri="{FF2B5EF4-FFF2-40B4-BE49-F238E27FC236}">
              <a16:creationId xmlns:a16="http://schemas.microsoft.com/office/drawing/2014/main" id="{D8371F6D-4613-411E-A76C-BA71E5712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78" y="419100"/>
          <a:ext cx="758709" cy="2667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12</xdr:col>
          <xdr:colOff>790575</xdr:colOff>
          <xdr:row>0</xdr:row>
          <xdr:rowOff>781050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DD2895E4-6B61-4D25-801D-77BFF66B5A5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450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1077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17</xdr:col>
          <xdr:colOff>228600</xdr:colOff>
          <xdr:row>1</xdr:row>
          <xdr:rowOff>152400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CB54433C-F9C2-47AF-95A4-1758B40178C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310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1450" y="0"/>
              <a:ext cx="1001077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20</xdr:col>
          <xdr:colOff>1152525</xdr:colOff>
          <xdr:row>5</xdr:row>
          <xdr:rowOff>19050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15379B51-6534-4542-9FFD-FF1329CB4CC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3912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10775" cy="7810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6</xdr:col>
          <xdr:colOff>257175</xdr:colOff>
          <xdr:row>4</xdr:row>
          <xdr:rowOff>76200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9C2E26FA-7B95-4700-ADD6-ED02B23014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5:$G$7" spid="_x0000_s15815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10775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790574</xdr:colOff>
      <xdr:row>4</xdr:row>
      <xdr:rowOff>85723</xdr:rowOff>
    </xdr:from>
    <xdr:to>
      <xdr:col>9</xdr:col>
      <xdr:colOff>1139408</xdr:colOff>
      <xdr:row>32</xdr:row>
      <xdr:rowOff>88083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17E255C-8C9B-493F-AFD2-D891CE1C13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980" t="26343" r="30752" b="8010"/>
        <a:stretch/>
      </xdr:blipFill>
      <xdr:spPr>
        <a:xfrm>
          <a:off x="2105024" y="1533523"/>
          <a:ext cx="7606884" cy="480296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323850</xdr:colOff>
          <xdr:row>0</xdr:row>
          <xdr:rowOff>762000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D13B3DCE-66EA-4A32-9C97-D4C7F8909A2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5:$G$7" spid="_x0000_s15918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38125" y="0"/>
              <a:ext cx="10010775" cy="762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57150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7EE303DD-FDBC-49F7-B544-3D55DAA1EF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490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01250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13</xdr:col>
          <xdr:colOff>714375</xdr:colOff>
          <xdr:row>0</xdr:row>
          <xdr:rowOff>600075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933B60D3-D704-4120-96E2-807B8DB5D21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A6:G8" spid="_x0000_s1541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01250" cy="6000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14</xdr:col>
          <xdr:colOff>47625</xdr:colOff>
          <xdr:row>0</xdr:row>
          <xdr:rowOff>600075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8A6F9D2C-4F37-455C-B5EF-A8E5A92F357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A6:G8" spid="_x0000_s160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01250" cy="6000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666750</xdr:colOff>
          <xdr:row>0</xdr:row>
          <xdr:rowOff>600075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BEC10A49-E499-40D8-A8B6-E4E6EF23450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A6:G8" spid="_x0000_s1662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01250" cy="6000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381000</xdr:colOff>
          <xdr:row>0</xdr:row>
          <xdr:rowOff>600075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5C541207-C11B-48FF-89FD-EBE2996952D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A6:G8" spid="_x0000_s1531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01250" cy="60007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10</xdr:col>
          <xdr:colOff>57150</xdr:colOff>
          <xdr:row>0</xdr:row>
          <xdr:rowOff>771525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E9B69927-6C7E-488E-9C5E-1222CEBA90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헤더!$A$1:$G$3" spid="_x0000_s16716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38125" y="0"/>
              <a:ext cx="10001250" cy="771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4\&#54028;&#51068;&#49436;&#48260;\mySingle\Temp\&#44204;&#51201;Template%20V2.2(&#51228;&#5050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"/>
      <sheetName val="1.기본정보"/>
      <sheetName val="2.규모측정(간이법)"/>
      <sheetName val="3.복잡도"/>
      <sheetName val="4.규모측정(정규법)"/>
      <sheetName val="5.규모측정종합"/>
      <sheetName val="6.생산성보정요인"/>
    </sheetNames>
    <sheetDataSet>
      <sheetData sheetId="0" refreshError="1">
        <row r="2">
          <cell r="A2" t="str">
            <v>수의계약</v>
          </cell>
          <cell r="B2" t="str">
            <v>종합낙찰제</v>
          </cell>
          <cell r="C2" t="str">
            <v>신규개발</v>
          </cell>
          <cell r="D2" t="str">
            <v>공공</v>
          </cell>
          <cell r="E2" t="str">
            <v>관공서</v>
          </cell>
          <cell r="F2" t="str">
            <v>사업계획</v>
          </cell>
          <cell r="G2" t="str">
            <v>Y</v>
          </cell>
          <cell r="H2" t="str">
            <v>단독입찰</v>
          </cell>
          <cell r="J2" t="str">
            <v>공공</v>
          </cell>
          <cell r="K2" t="str">
            <v>SW개발</v>
          </cell>
        </row>
        <row r="3">
          <cell r="A3" t="str">
            <v>2단계 동시</v>
          </cell>
          <cell r="B3" t="str">
            <v>최저가낙찰제</v>
          </cell>
          <cell r="C3" t="str">
            <v>기능개선</v>
          </cell>
          <cell r="D3" t="str">
            <v>금융</v>
          </cell>
          <cell r="E3" t="str">
            <v>지방자치단체</v>
          </cell>
          <cell r="F3" t="str">
            <v>제안</v>
          </cell>
          <cell r="G3" t="str">
            <v>N</v>
          </cell>
          <cell r="H3" t="str">
            <v>턴키</v>
          </cell>
          <cell r="J3" t="str">
            <v>금융</v>
          </cell>
          <cell r="K3" t="str">
            <v>SI(SW+HW)</v>
          </cell>
        </row>
        <row r="4">
          <cell r="A4" t="str">
            <v>2단계 분리</v>
          </cell>
          <cell r="B4" t="str">
            <v>협상에의한 낙찰제</v>
          </cell>
          <cell r="C4" t="str">
            <v>재구축</v>
          </cell>
          <cell r="D4" t="str">
            <v>제조</v>
          </cell>
          <cell r="E4" t="str">
            <v>정부투자기관</v>
          </cell>
          <cell r="F4" t="str">
            <v>계약</v>
          </cell>
          <cell r="H4" t="str">
            <v>컨소시엄</v>
          </cell>
          <cell r="J4" t="str">
            <v>제조</v>
          </cell>
          <cell r="K4" t="str">
            <v>컨설팅</v>
          </cell>
        </row>
        <row r="5">
          <cell r="A5" t="str">
            <v>일괄입찰</v>
          </cell>
          <cell r="B5" t="str">
            <v>기타</v>
          </cell>
          <cell r="C5" t="str">
            <v>플랫폼교체</v>
          </cell>
          <cell r="D5" t="str">
            <v>서비스</v>
          </cell>
          <cell r="E5" t="str">
            <v>SOC</v>
          </cell>
          <cell r="F5" t="str">
            <v>설계</v>
          </cell>
          <cell r="J5" t="str">
            <v>유통/서비스</v>
          </cell>
          <cell r="K5" t="str">
            <v>ASP</v>
          </cell>
        </row>
        <row r="6">
          <cell r="A6" t="str">
            <v>일반경쟁</v>
          </cell>
          <cell r="C6" t="str">
            <v>패키지 적용</v>
          </cell>
          <cell r="D6" t="str">
            <v>정보통신</v>
          </cell>
          <cell r="E6" t="str">
            <v>국방</v>
          </cell>
          <cell r="F6" t="str">
            <v>실행</v>
          </cell>
          <cell r="J6" t="str">
            <v>응용시스템</v>
          </cell>
          <cell r="K6" t="str">
            <v>인력지원</v>
          </cell>
        </row>
        <row r="7">
          <cell r="A7" t="str">
            <v>제한경쟁</v>
          </cell>
          <cell r="C7" t="str">
            <v>유지보수</v>
          </cell>
          <cell r="D7" t="str">
            <v>유틸리티</v>
          </cell>
          <cell r="E7" t="str">
            <v>은행</v>
          </cell>
          <cell r="F7" t="str">
            <v>종료</v>
          </cell>
          <cell r="J7" t="str">
            <v>OM</v>
          </cell>
          <cell r="K7" t="str">
            <v>전체외주</v>
          </cell>
        </row>
        <row r="8">
          <cell r="A8" t="str">
            <v>지명경쟁</v>
          </cell>
          <cell r="D8" t="str">
            <v>교통</v>
          </cell>
          <cell r="E8" t="str">
            <v>증권</v>
          </cell>
          <cell r="K8" t="str">
            <v>유지보수</v>
          </cell>
        </row>
        <row r="9">
          <cell r="A9" t="str">
            <v>협상에의한 낙찰제</v>
          </cell>
          <cell r="D9" t="str">
            <v>기타</v>
          </cell>
          <cell r="E9" t="str">
            <v>보험</v>
          </cell>
          <cell r="K9" t="str">
            <v>수주연동솔루션</v>
          </cell>
        </row>
        <row r="10">
          <cell r="A10" t="str">
            <v>기타</v>
          </cell>
          <cell r="E10" t="str">
            <v>카드</v>
          </cell>
          <cell r="K10" t="str">
            <v>국책과제</v>
          </cell>
        </row>
        <row r="11">
          <cell r="E11" t="str">
            <v>케피탈</v>
          </cell>
          <cell r="K11" t="str">
            <v>자주과제</v>
          </cell>
        </row>
        <row r="12">
          <cell r="E12" t="str">
            <v>리스,종금,투신</v>
          </cell>
          <cell r="K12" t="str">
            <v>장기개발솔루션</v>
          </cell>
        </row>
        <row r="13">
          <cell r="E13" t="str">
            <v>무역/유통</v>
          </cell>
          <cell r="K13" t="str">
            <v>기타</v>
          </cell>
        </row>
        <row r="14">
          <cell r="E14" t="str">
            <v>레저/문화</v>
          </cell>
        </row>
        <row r="15">
          <cell r="E15" t="str">
            <v>의료</v>
          </cell>
        </row>
        <row r="16">
          <cell r="E16" t="str">
            <v>교육/언론</v>
          </cell>
        </row>
        <row r="17">
          <cell r="E17" t="str">
            <v>종교</v>
          </cell>
        </row>
        <row r="18">
          <cell r="E18" t="str">
            <v>금속/기계</v>
          </cell>
        </row>
        <row r="19">
          <cell r="E19" t="str">
            <v>전기/전자</v>
          </cell>
        </row>
        <row r="20">
          <cell r="E20" t="str">
            <v>자동차/건설기계</v>
          </cell>
        </row>
        <row r="21">
          <cell r="E21" t="str">
            <v>정밀기기</v>
          </cell>
        </row>
        <row r="22">
          <cell r="E22" t="str">
            <v>석유/화학</v>
          </cell>
        </row>
        <row r="23">
          <cell r="E23" t="str">
            <v>섬유/제지</v>
          </cell>
        </row>
        <row r="24">
          <cell r="E24" t="str">
            <v>음식료/제약</v>
          </cell>
        </row>
        <row r="25">
          <cell r="E25" t="str">
            <v>조선</v>
          </cell>
        </row>
        <row r="26">
          <cell r="E26" t="str">
            <v>건설</v>
          </cell>
        </row>
        <row r="27">
          <cell r="E27" t="str">
            <v>엔지니어링</v>
          </cell>
        </row>
        <row r="28">
          <cell r="E28" t="str">
            <v>정보통신</v>
          </cell>
        </row>
        <row r="29">
          <cell r="E29" t="str">
            <v>소프트웨어개발</v>
          </cell>
        </row>
        <row r="30">
          <cell r="E30" t="str">
            <v>항공</v>
          </cell>
        </row>
        <row r="31">
          <cell r="E31" t="str">
            <v>공통</v>
          </cell>
        </row>
        <row r="32">
          <cell r="E32" t="str">
            <v>기타</v>
          </cell>
        </row>
        <row r="35">
          <cell r="A35" t="str">
            <v>Process Control</v>
          </cell>
          <cell r="B35" t="str">
            <v>C/S</v>
          </cell>
          <cell r="C35">
            <v>1</v>
          </cell>
          <cell r="D35" t="str">
            <v>1 ~ 10</v>
          </cell>
          <cell r="E35" t="str">
            <v>INNOVATOR-C/S</v>
          </cell>
          <cell r="F35" t="str">
            <v>MVS</v>
          </cell>
          <cell r="G35" t="str">
            <v>CODA</v>
          </cell>
          <cell r="H35" t="str">
            <v>Topend</v>
          </cell>
          <cell r="I35" t="str">
            <v>PC</v>
          </cell>
          <cell r="J35" t="str">
            <v>ASP/PHP/JSP</v>
          </cell>
          <cell r="K35" t="str">
            <v>ER/WIN</v>
          </cell>
          <cell r="L35" t="str">
            <v>PC</v>
          </cell>
          <cell r="M35" t="str">
            <v>3GL</v>
          </cell>
        </row>
        <row r="36">
          <cell r="A36" t="str">
            <v>Network Management</v>
          </cell>
          <cell r="B36" t="str">
            <v>WEB</v>
          </cell>
          <cell r="C36" t="str">
            <v>1~5</v>
          </cell>
          <cell r="D36" t="str">
            <v>11 ~ 100</v>
          </cell>
          <cell r="E36" t="str">
            <v>INNOVATOR-HOST</v>
          </cell>
          <cell r="F36" t="str">
            <v>Unix</v>
          </cell>
          <cell r="G36" t="str">
            <v>DB2</v>
          </cell>
          <cell r="H36" t="str">
            <v>CGI</v>
          </cell>
          <cell r="I36" t="str">
            <v>IBM</v>
          </cell>
          <cell r="J36" t="str">
            <v>CGI</v>
          </cell>
          <cell r="K36" t="str">
            <v>PoerDesigner</v>
          </cell>
          <cell r="L36" t="str">
            <v>Midrange</v>
          </cell>
          <cell r="M36" t="str">
            <v>4GL</v>
          </cell>
        </row>
        <row r="37">
          <cell r="A37" t="str">
            <v>Trading</v>
          </cell>
          <cell r="B37" t="str">
            <v>DW</v>
          </cell>
          <cell r="C37" t="str">
            <v>6~10</v>
          </cell>
          <cell r="D37" t="str">
            <v>101 ~ 200</v>
          </cell>
          <cell r="E37" t="str">
            <v>INNOVATOR-INTRANET</v>
          </cell>
          <cell r="F37" t="str">
            <v>Linux</v>
          </cell>
          <cell r="G37" t="str">
            <v>EasyBase</v>
          </cell>
          <cell r="H37" t="str">
            <v>CS Talk</v>
          </cell>
          <cell r="I37" t="str">
            <v>IBM-RS/6000</v>
          </cell>
          <cell r="J37" t="str">
            <v>JAVA</v>
          </cell>
          <cell r="K37" t="str">
            <v>Rational Rose</v>
          </cell>
          <cell r="L37" t="str">
            <v>Mainframe</v>
          </cell>
          <cell r="M37" t="str">
            <v>APG</v>
          </cell>
        </row>
        <row r="38">
          <cell r="A38" t="str">
            <v>Stock Control &amp; Order Processing</v>
          </cell>
          <cell r="B38" t="str">
            <v>CBD</v>
          </cell>
          <cell r="C38" t="str">
            <v>11 이상</v>
          </cell>
          <cell r="D38" t="str">
            <v>201 ~ 1000</v>
          </cell>
          <cell r="E38" t="str">
            <v>INNOVATOR-SAP R/3</v>
          </cell>
          <cell r="F38" t="str">
            <v>WIN95/98</v>
          </cell>
          <cell r="G38" t="str">
            <v>Foxpro</v>
          </cell>
          <cell r="H38" t="str">
            <v>Encina</v>
          </cell>
          <cell r="I38" t="str">
            <v>IBM-SP2</v>
          </cell>
          <cell r="J38" t="str">
            <v>JAVA Script</v>
          </cell>
          <cell r="K38" t="str">
            <v>System Architect</v>
          </cell>
        </row>
        <row r="39">
          <cell r="A39" t="str">
            <v>Document management</v>
          </cell>
          <cell r="B39" t="str">
            <v>OO</v>
          </cell>
          <cell r="D39" t="str">
            <v>1000 ~</v>
          </cell>
          <cell r="E39" t="str">
            <v>INNOVATOR-패키지</v>
          </cell>
          <cell r="F39" t="str">
            <v>Window NT</v>
          </cell>
          <cell r="G39" t="str">
            <v>IMS</v>
          </cell>
          <cell r="H39" t="str">
            <v>Entera</v>
          </cell>
          <cell r="I39" t="str">
            <v>IBM-Mainframe</v>
          </cell>
          <cell r="J39" t="str">
            <v>HTML</v>
          </cell>
          <cell r="K39" t="str">
            <v>COOL GEN</v>
          </cell>
        </row>
        <row r="40">
          <cell r="A40" t="str">
            <v>EDI</v>
          </cell>
          <cell r="E40" t="str">
            <v>INNOVATOR-객체지향</v>
          </cell>
          <cell r="F40" t="str">
            <v>Windiw XP</v>
          </cell>
          <cell r="G40" t="str">
            <v>MS-Acess</v>
          </cell>
          <cell r="H40" t="str">
            <v>ISIS</v>
          </cell>
          <cell r="I40" t="str">
            <v>HP</v>
          </cell>
          <cell r="J40" t="str">
            <v>Sapphire Web</v>
          </cell>
          <cell r="K40" t="str">
            <v>ANALYZER</v>
          </cell>
        </row>
        <row r="41">
          <cell r="A41" t="str">
            <v>GIS</v>
          </cell>
          <cell r="E41" t="str">
            <v>INNOVATOR-공정제어</v>
          </cell>
          <cell r="F41" t="str">
            <v>NEC</v>
          </cell>
          <cell r="G41" t="str">
            <v>OODB</v>
          </cell>
          <cell r="H41" t="str">
            <v>MQ-Series</v>
          </cell>
          <cell r="I41" t="str">
            <v>HP-K series</v>
          </cell>
          <cell r="J41" t="str">
            <v>Perl</v>
          </cell>
          <cell r="K41" t="str">
            <v>기타</v>
          </cell>
        </row>
        <row r="42">
          <cell r="A42" t="str">
            <v xml:space="preserve">Multimedia </v>
          </cell>
          <cell r="E42" t="str">
            <v>INNOVATOR-유지보수</v>
          </cell>
          <cell r="F42" t="str">
            <v>기타</v>
          </cell>
          <cell r="G42" t="str">
            <v>Oracle</v>
          </cell>
          <cell r="H42" t="str">
            <v>RPC</v>
          </cell>
          <cell r="I42" t="str">
            <v>HP-D series</v>
          </cell>
          <cell r="J42" t="str">
            <v>C</v>
          </cell>
        </row>
        <row r="43">
          <cell r="A43" t="str">
            <v>Financial</v>
          </cell>
          <cell r="E43" t="str">
            <v>INNOVATOR-CBD</v>
          </cell>
          <cell r="G43" t="str">
            <v>SQL Server</v>
          </cell>
          <cell r="H43" t="str">
            <v>SEQUE-LINK</v>
          </cell>
          <cell r="I43" t="str">
            <v>HP-T series</v>
          </cell>
          <cell r="J43" t="str">
            <v>C++</v>
          </cell>
        </row>
        <row r="44">
          <cell r="A44" t="str">
            <v>Accounting</v>
          </cell>
          <cell r="E44" t="str">
            <v>INNOVATOR-기타</v>
          </cell>
          <cell r="G44" t="str">
            <v>Sybase</v>
          </cell>
          <cell r="H44" t="str">
            <v>Tuxedo</v>
          </cell>
          <cell r="I44" t="str">
            <v>SUN</v>
          </cell>
          <cell r="J44" t="str">
            <v>Visual Basic</v>
          </cell>
        </row>
        <row r="45">
          <cell r="A45" t="str">
            <v>Logistics Control</v>
          </cell>
          <cell r="E45" t="str">
            <v>SLIC</v>
          </cell>
          <cell r="G45" t="str">
            <v>ADBAS</v>
          </cell>
          <cell r="H45" t="str">
            <v>RPC</v>
          </cell>
          <cell r="I45" t="str">
            <v>SUN-workstation</v>
          </cell>
          <cell r="J45" t="str">
            <v>Cisual C++</v>
          </cell>
        </row>
        <row r="46">
          <cell r="A46" t="str">
            <v>Online Analysis</v>
          </cell>
          <cell r="E46" t="str">
            <v>METHOD/1</v>
          </cell>
          <cell r="G46" t="str">
            <v>DB관리툴</v>
          </cell>
          <cell r="H46" t="str">
            <v>CORBA</v>
          </cell>
          <cell r="I46" t="str">
            <v>SUN-server</v>
          </cell>
          <cell r="J46" t="str">
            <v>Delphi</v>
          </cell>
        </row>
        <row r="47">
          <cell r="A47" t="str">
            <v>MIS</v>
          </cell>
          <cell r="E47" t="str">
            <v>OMT</v>
          </cell>
          <cell r="G47" t="str">
            <v>DBMS활용</v>
          </cell>
          <cell r="H47" t="str">
            <v>CICS</v>
          </cell>
          <cell r="I47" t="str">
            <v>DEC</v>
          </cell>
          <cell r="J47" t="str">
            <v>SQL</v>
          </cell>
        </row>
        <row r="48">
          <cell r="A48" t="str">
            <v>Imbeded Software</v>
          </cell>
          <cell r="E48" t="str">
            <v>NAVIGATOR</v>
          </cell>
          <cell r="G48" t="str">
            <v>데이타베이스구축</v>
          </cell>
          <cell r="H48" t="str">
            <v>IMS DC</v>
          </cell>
          <cell r="I48" t="str">
            <v>DEC-ALPHA 300</v>
          </cell>
          <cell r="J48" t="str">
            <v>COBOL</v>
          </cell>
        </row>
        <row r="49">
          <cell r="A49" t="str">
            <v>Mathematical Modeling</v>
          </cell>
          <cell r="E49" t="str">
            <v>DOD</v>
          </cell>
          <cell r="G49" t="str">
            <v>기타</v>
          </cell>
          <cell r="H49" t="str">
            <v>기타</v>
          </cell>
          <cell r="I49" t="str">
            <v>DEC-ALPHA 800</v>
          </cell>
          <cell r="J49" t="str">
            <v>XML</v>
          </cell>
        </row>
        <row r="50">
          <cell r="E50" t="str">
            <v>UML</v>
          </cell>
          <cell r="I50" t="str">
            <v>DEC-ALPHA 4100</v>
          </cell>
          <cell r="J50" t="str">
            <v>PowerBuilder</v>
          </cell>
        </row>
        <row r="51">
          <cell r="E51" t="str">
            <v>개발방법론 기타</v>
          </cell>
          <cell r="I51" t="str">
            <v>삼성전자</v>
          </cell>
          <cell r="J51" t="str">
            <v>BASIC</v>
          </cell>
        </row>
        <row r="52">
          <cell r="I52" t="str">
            <v>삼성전자-SSM Series</v>
          </cell>
          <cell r="J52" t="str">
            <v>PRO*C</v>
          </cell>
        </row>
        <row r="53">
          <cell r="I53" t="str">
            <v>삼성전자-Magic Pro Server</v>
          </cell>
          <cell r="J53" t="str">
            <v>PRO*COBOL</v>
          </cell>
        </row>
        <row r="54">
          <cell r="I54" t="str">
            <v>삼성전자-Smartnet Server</v>
          </cell>
          <cell r="J54" t="str">
            <v>VRML</v>
          </cell>
        </row>
        <row r="55">
          <cell r="I55" t="str">
            <v>NCR</v>
          </cell>
          <cell r="J55" t="str">
            <v>SGML</v>
          </cell>
        </row>
        <row r="56">
          <cell r="I56" t="str">
            <v>NCR-POS</v>
          </cell>
          <cell r="J56" t="str">
            <v>JCL</v>
          </cell>
        </row>
        <row r="57">
          <cell r="I57" t="str">
            <v>NCR-Server</v>
          </cell>
          <cell r="J57" t="str">
            <v>ABAP/4</v>
          </cell>
        </row>
        <row r="58">
          <cell r="I58" t="str">
            <v>기타</v>
          </cell>
          <cell r="J58" t="str">
            <v>Fortran</v>
          </cell>
        </row>
        <row r="59">
          <cell r="I59" t="str">
            <v>N/A</v>
          </cell>
          <cell r="J59" t="str">
            <v>PL*SQL</v>
          </cell>
        </row>
        <row r="60">
          <cell r="J60" t="str">
            <v>기타</v>
          </cell>
        </row>
        <row r="61">
          <cell r="J61" t="str">
            <v>N/A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E5E417-448F-4721-B786-0A5E09CEC90C}" name="표3_5" displayName="표3_5" ref="B5:M10" totalsRowShown="0" headerRowDxfId="145" dataDxfId="143" headerRowBorderDxfId="144" tableBorderDxfId="142" totalsRowBorderDxfId="141" headerRowCellStyle="표준 2" dataCellStyle="표준 2">
  <autoFilter ref="B5:M10" xr:uid="{9047FADC-3894-4F04-95C9-ADAB5673CECA}"/>
  <tableColumns count="12">
    <tableColumn id="1" xr3:uid="{5AFBE69A-9801-420D-8B9A-36F7D19FB60A}" name="SYS" dataDxfId="140"/>
    <tableColumn id="2" xr3:uid="{460DB3C9-C3FD-45AD-A513-1AE9526813CA}" name="시나리오 수" dataDxfId="139"/>
    <tableColumn id="3" xr3:uid="{644521FD-D98A-4A42-996E-7245C163A052}" name="Pass" dataDxfId="138"/>
    <tableColumn id="4" xr3:uid="{74564306-0B99-4F6A-9558-2246F7CC99C4}" name="Fail" dataDxfId="137"/>
    <tableColumn id="5" xr3:uid="{B2B04085-282D-4AB8-A1B5-3CDC431CB871}" name="Block" dataDxfId="136"/>
    <tableColumn id="6" xr3:uid="{2C76050F-6A28-4217-8F99-CB7A5BD15F2B}" name="N/A" dataDxfId="135"/>
    <tableColumn id="7" xr3:uid="{0ADE8BC1-39F1-45D1-9427-232E9A0150C3}" name="Total" dataDxfId="134" dataCellStyle="표준 2"/>
    <tableColumn id="8" xr3:uid="{89C9C061-50B0-4E92-8032-1FBD0F43C575}" name="진척율" dataDxfId="133" dataCellStyle="백분율">
      <calculatedColumnFormula>IFERROR(표3_5[[#This Row],[Total]]/표3_5[[#This Row],[시나리오 수]],0)</calculatedColumnFormula>
    </tableColumn>
    <tableColumn id="9" xr3:uid="{F7C45364-D388-4D17-8E9A-157B10E7DE40}" name="수행율" dataDxfId="132" dataCellStyle="백분율">
      <calculatedColumnFormula>IFERROR(SUM(표3_5[[#This Row],[Pass]:[Fail]])/표3_5[[#This Row],[시나리오 수]],0)</calculatedColumnFormula>
    </tableColumn>
    <tableColumn id="10" xr3:uid="{7B88E86A-4B77-484A-B136-95D27EC9BF68}" name="성공율" dataDxfId="131" dataCellStyle="백분율"/>
    <tableColumn id="11" xr3:uid="{51D1AF8D-F8EC-40BE-8257-FF6C339F1E64}" name="결함율" dataDxfId="130" dataCellStyle="백분율">
      <calculatedColumnFormula>IFERROR((표3_5[[#This Row],[Fail]]/SUM(표3_5[[#This Row],[Pass]:[Fail]])),0)</calculatedColumnFormula>
    </tableColumn>
    <tableColumn id="12" xr3:uid="{0803FBCB-4972-4A80-87C4-4602D5ED852F}" name="수행불가율" dataDxfId="129" dataCellStyle="백분율">
      <calculatedColumnFormula>IFERROR((표3_5[[#This Row],[N/A]]/표3_5[[#This Row],[시나리오 수]]),0)</calculatedColumnFormula>
    </tableColumn>
  </tableColumns>
  <tableStyleInfo name="표 스타일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EC1F15-CF23-4E6D-B57E-14A780219677}" name="표3_6" displayName="표3_6" ref="B23:M29" totalsRowShown="0" headerRowDxfId="128" dataDxfId="126" headerRowBorderDxfId="127" tableBorderDxfId="125" totalsRowBorderDxfId="124" headerRowCellStyle="표준 2" dataCellStyle="표준 2">
  <autoFilter ref="B23:M29" xr:uid="{0973CF84-A5EF-4EF6-9FFF-5385A93CBED2}"/>
  <tableColumns count="12">
    <tableColumn id="1" xr3:uid="{A9A10ECE-65CD-4B9C-AAB5-5E618CB3DD20}" name="Sheet명" dataDxfId="123"/>
    <tableColumn id="2" xr3:uid="{C5AD0311-1CCD-4B94-9ACF-70EE5324929B}" name="시나리오 수" dataDxfId="122"/>
    <tableColumn id="3" xr3:uid="{CE86FC47-70E5-414E-AC97-0D21E664227F}" name="Pass" dataDxfId="121"/>
    <tableColumn id="4" xr3:uid="{D147512F-3A64-4D3B-9370-473FD547731B}" name="Fail" dataDxfId="120"/>
    <tableColumn id="5" xr3:uid="{4BE5885D-B65D-415B-BFD2-22CA28CFEB4B}" name="Block" dataDxfId="119"/>
    <tableColumn id="6" xr3:uid="{F79962A7-F61C-490A-90C3-F5F3CCF6F6A6}" name="N/A" dataDxfId="118"/>
    <tableColumn id="7" xr3:uid="{616E33AF-BBA7-4A2D-A727-F24013DC82E3}" name="Total" dataDxfId="117" dataCellStyle="표준 2"/>
    <tableColumn id="8" xr3:uid="{D147F94F-659E-4F02-92F6-3B4640EBFB63}" name="진척율" dataDxfId="116" dataCellStyle="백분율">
      <calculatedColumnFormula>IFERROR(표3_6[[#This Row],[Total]]/표3_6[[#This Row],[시나리오 수]],0)</calculatedColumnFormula>
    </tableColumn>
    <tableColumn id="9" xr3:uid="{95E74629-77B8-4DC0-99FC-F8AFE322D1FA}" name="수행율" dataDxfId="115" dataCellStyle="백분율">
      <calculatedColumnFormula>IFERROR(SUM(표3_6[[#This Row],[Pass]:[Fail]])/표3_6[[#This Row],[시나리오 수]],0)</calculatedColumnFormula>
    </tableColumn>
    <tableColumn id="10" xr3:uid="{31B8AB6B-6566-462F-8204-3624F1F439F7}" name="성공율" dataDxfId="114" dataCellStyle="백분율"/>
    <tableColumn id="11" xr3:uid="{0A75E969-B206-4D4C-B75B-0C57B1E8641D}" name="결함율" dataDxfId="113" dataCellStyle="백분율">
      <calculatedColumnFormula>IFERROR((표3_6[[#This Row],[Fail]]/SUM(표3_6[[#This Row],[Pass]:[Fail]])),0)</calculatedColumnFormula>
    </tableColumn>
    <tableColumn id="12" xr3:uid="{5882E98B-73EC-46A9-9B37-6E5144AFBA5C}" name="수행불가율" dataDxfId="112" dataCellStyle="백분율">
      <calculatedColumnFormula>IFERROR((표3_6[[#This Row],[N/A]]/표3_6[[#This Row],[시나리오 수]]),0)</calculatedColumnFormula>
    </tableColumn>
  </tableColumns>
  <tableStyleInfo name="표 스타일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750741-7E64-4E9D-A4F5-D81CAA8EBF6E}" name="표3_57" displayName="표3_57" ref="B31:M36" totalsRowShown="0" headerRowDxfId="111" dataDxfId="109" headerRowBorderDxfId="110" tableBorderDxfId="108" totalsRowBorderDxfId="107" headerRowCellStyle="표준 2" dataCellStyle="표준 2">
  <autoFilter ref="B31:M36" xr:uid="{8448BA65-4D99-4F77-988B-FD881071478C}"/>
  <tableColumns count="12">
    <tableColumn id="1" xr3:uid="{6A95771C-3B0C-477B-A760-CC63387F9476}" name="SYS" dataDxfId="106"/>
    <tableColumn id="2" xr3:uid="{F98C1B45-66EB-4328-BF3C-84234D7CB53F}" name="시나리오 수" dataDxfId="105"/>
    <tableColumn id="3" xr3:uid="{36C3AA9C-D663-439D-96D3-018EE57097B6}" name="Pass" dataDxfId="104"/>
    <tableColumn id="4" xr3:uid="{7D352D2C-34F1-4292-9FCD-E65A0B4E0DED}" name="Fail" dataDxfId="103"/>
    <tableColumn id="5" xr3:uid="{DF294094-EC0D-48E0-AA87-393874D7BD58}" name="Block" dataDxfId="102"/>
    <tableColumn id="6" xr3:uid="{8F5BF226-A53B-4B94-A8A9-FBD6F60EB1D0}" name="N/A" dataDxfId="101"/>
    <tableColumn id="7" xr3:uid="{D7FBF215-08AF-415B-A8B5-550779E17DD5}" name="Total" dataDxfId="100" dataCellStyle="표준 2"/>
    <tableColumn id="8" xr3:uid="{5503C76F-C345-43DB-8732-546A5207CA24}" name="진척율" dataDxfId="99" dataCellStyle="백분율">
      <calculatedColumnFormula>IFERROR(표3_57[[#This Row],[Total]]/표3_57[[#This Row],[시나리오 수]],0)</calculatedColumnFormula>
    </tableColumn>
    <tableColumn id="9" xr3:uid="{1CF18D0A-0647-4450-9689-FEDCED1B0DF9}" name="수행율" dataDxfId="98" dataCellStyle="백분율">
      <calculatedColumnFormula>IFERROR(SUM(표3_57[[#This Row],[Pass]:[Fail]])/표3_57[[#This Row],[시나리오 수]],0)</calculatedColumnFormula>
    </tableColumn>
    <tableColumn id="10" xr3:uid="{855B6F97-235D-4D35-9058-974ECB7497DC}" name="성공율" dataDxfId="97" dataCellStyle="백분율"/>
    <tableColumn id="11" xr3:uid="{57B31767-4EE9-4F22-8FFB-6A5D3E6108CB}" name="결함율" dataDxfId="96" dataCellStyle="백분율">
      <calculatedColumnFormula>IFERROR((표3_57[[#This Row],[Fail]]/SUM(표3_57[[#This Row],[Pass]:[Fail]])),0)</calculatedColumnFormula>
    </tableColumn>
    <tableColumn id="12" xr3:uid="{8E616940-EE41-4CDE-BBFD-1AAE99074729}" name="수행불가율" dataDxfId="95" dataCellStyle="백분율">
      <calculatedColumnFormula>IFERROR((표3_57[[#This Row],[N/A]]/표3_57[[#This Row],[시나리오 수]]),0)</calculatedColumnFormula>
    </tableColumn>
  </tableColumns>
  <tableStyleInfo name="표 스타일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7C400A-0323-4544-9026-F4116EAC51DA}" name="표3_58" displayName="표3_58" ref="B14:M19" totalsRowShown="0" headerRowDxfId="94" dataDxfId="92" headerRowBorderDxfId="93" tableBorderDxfId="91" totalsRowBorderDxfId="90" headerRowCellStyle="표준 2" dataCellStyle="표준 2">
  <autoFilter ref="B14:M19" xr:uid="{E4DAC68B-224D-4A27-A8D5-919A1D4DAC42}"/>
  <tableColumns count="12">
    <tableColumn id="1" xr3:uid="{A13A9FC1-1852-413F-8FEA-5C580FBEFF65}" name="SYS" dataDxfId="89"/>
    <tableColumn id="2" xr3:uid="{75A7CCD8-799E-45E2-8CD5-284464DD4E0F}" name="시나리오 수" dataDxfId="88"/>
    <tableColumn id="3" xr3:uid="{3DC4CC1A-1CEB-4CB5-AD11-ED2581F52A84}" name="Pass" dataDxfId="87"/>
    <tableColumn id="4" xr3:uid="{D6C37E99-2A2E-4332-8195-1EB0E3801994}" name="Fail" dataDxfId="86"/>
    <tableColumn id="5" xr3:uid="{B08669E3-F196-432D-B707-7B1AB07DE1C0}" name="Block" dataDxfId="85"/>
    <tableColumn id="6" xr3:uid="{EAAFFBDE-9B0A-4B56-B518-2F5ED3F94150}" name="N/A" dataDxfId="84"/>
    <tableColumn id="7" xr3:uid="{696BA8FF-46A7-4E12-8B95-B1812A6C89CC}" name="Total" dataDxfId="83" dataCellStyle="표준 2"/>
    <tableColumn id="8" xr3:uid="{7FD4FBA6-2911-433E-AFC3-76A0A167CEA1}" name="진척율" dataDxfId="82" dataCellStyle="백분율">
      <calculatedColumnFormula>IFERROR(표3_58[[#This Row],[Total]]/표3_58[[#This Row],[시나리오 수]],0)</calculatedColumnFormula>
    </tableColumn>
    <tableColumn id="9" xr3:uid="{F7A83938-B61A-44FD-8F72-167A11B6C2CB}" name="수행율" dataDxfId="81" dataCellStyle="백분율">
      <calculatedColumnFormula>IFERROR(SUM(표3_58[[#This Row],[Pass]:[Fail]])/표3_58[[#This Row],[시나리오 수]],0)</calculatedColumnFormula>
    </tableColumn>
    <tableColumn id="10" xr3:uid="{B29B28EE-39AA-4F3A-A66E-F31E0ECE77FC}" name="성공율" dataDxfId="80" dataCellStyle="백분율"/>
    <tableColumn id="11" xr3:uid="{DE389884-F0FD-4925-9A4A-CF30AB6C4A90}" name="결함율" dataDxfId="79" dataCellStyle="백분율">
      <calculatedColumnFormula>IFERROR((표3_58[[#This Row],[Fail]]/SUM(표3_58[[#This Row],[Pass]:[Fail]])),0)</calculatedColumnFormula>
    </tableColumn>
    <tableColumn id="12" xr3:uid="{AB4FB705-4D67-411E-AA25-3FE058496610}" name="수행불가율" dataDxfId="78" dataCellStyle="백분율">
      <calculatedColumnFormula>IFERROR((표3_58[[#This Row],[N/A]]/표3_58[[#This Row],[시나리오 수]]),0)</calculatedColumnFormula>
    </tableColumn>
  </tableColumns>
  <tableStyleInfo name="표 스타일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16890C-14C2-4C7B-A265-D56BFDC993C7}" name="표1_3" displayName="표1_3" ref="B39:P79" totalsRowShown="0" headerRowDxfId="77" dataDxfId="76">
  <autoFilter ref="B39:P79" xr:uid="{EE872FAF-DAD6-4E81-AA03-454B12DE5017}"/>
  <tableColumns count="15">
    <tableColumn id="1" xr3:uid="{4911571B-8E55-498E-83B9-151FDB615591}" name="No." dataDxfId="75">
      <calculatedColumnFormula>ROW()-39</calculatedColumnFormula>
    </tableColumn>
    <tableColumn id="3" xr3:uid="{C4B71A52-CC10-488A-B962-F6820B4A1D68}" name="사이트" dataDxfId="74"/>
    <tableColumn id="17" xr3:uid="{DEB88005-5297-474F-A2BA-59B64011179F}" name="ID" dataDxfId="73"/>
    <tableColumn id="18" xr3:uid="{94C21880-A5E9-406A-A370-C0B7884B8F3B}" name="시나리오명" dataDxfId="72"/>
    <tableColumn id="15" xr3:uid="{F347EC0C-7C9A-4946-A11E-24A2334AE663}" name="SYS" dataDxfId="71"/>
    <tableColumn id="19" xr3:uid="{6AA10C28-3C27-46A4-B5B0-E933002F42A2}" name="중요도" dataDxfId="70"/>
    <tableColumn id="5" xr3:uid="{A74454EF-9E76-4124-9F7B-73486BB24C71}" name="테스트 항목" dataDxfId="69"/>
    <tableColumn id="6" xr3:uid="{4B1EFFCE-BED6-4F18-A18F-592EE778AC59}" name="수행 절차" dataDxfId="68"/>
    <tableColumn id="7" xr3:uid="{C9D9601C-FD09-4C7B-9718-4949F6166448}" name="입력값" dataDxfId="67"/>
    <tableColumn id="8" xr3:uid="{8EB8DC9A-A0F7-4411-9F8C-5FC082C783E4}" name="기대 결과" dataDxfId="66"/>
    <tableColumn id="9" xr3:uid="{79DA6E63-3F59-4B85-BEFA-0431A8A864D4}" name="수행일자" dataDxfId="65" dataCellStyle="표준 2"/>
    <tableColumn id="16" xr3:uid="{126C8BA2-6DED-4030-9D56-58A14BDD298C}" name="수행자" dataDxfId="64" dataCellStyle="표준 2"/>
    <tableColumn id="20" xr3:uid="{E973DC5E-E4E9-4E1F-97FA-38D2E62E53AA}" name="테스트결과" dataDxfId="63" dataCellStyle="표준 2"/>
    <tableColumn id="14" xr3:uid="{60BA9BD1-E65E-4A28-9CFB-4B7509E5C68D}" name="수정여부" dataDxfId="62" dataCellStyle="표준 2"/>
    <tableColumn id="2" xr3:uid="{C0ED8EFC-9E57-4296-A209-86BACC9369C5}" name="비고" dataDxfId="61" dataCellStyle="표준 2"/>
  </tableColumns>
  <tableStyleInfo name="표 스타일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D28F52-07F9-4840-8731-BB4FE51D45CA}" name="표1_34" displayName="표1_34" ref="B3:J23" totalsRowShown="0" headerRowDxfId="60" dataDxfId="59">
  <tableColumns count="9">
    <tableColumn id="1" xr3:uid="{26517017-4F0D-439A-9A53-0BD1876C421B}" name="No." dataDxfId="58">
      <calculatedColumnFormula>ROW()-3</calculatedColumnFormula>
    </tableColumn>
    <tableColumn id="3" xr3:uid="{1896BD6A-601D-46D2-AF31-BEEBE798223C}" name="회원유형" dataDxfId="57"/>
    <tableColumn id="17" xr3:uid="{05769844-E5F7-476C-8D20-65C581CF7695}" name="ID" dataDxfId="56"/>
    <tableColumn id="18" xr3:uid="{A6C5F42F-E569-4CC5-B08C-8DFBB73C4CAD}" name="Password" dataDxfId="55"/>
    <tableColumn id="2" xr3:uid="{ADB59C20-D3C2-498A-A7B0-6FE0B0896966}" name="Tester" dataDxfId="54" dataCellStyle="표준 2"/>
    <tableColumn id="15" xr3:uid="{34FDD881-B96A-4C03-8683-1332AF9131B9}" name="회원명" dataDxfId="53"/>
    <tableColumn id="19" xr3:uid="{99ED0EFD-E8D3-446A-A342-FA9CD049B8E3}" name="이메일" dataDxfId="52"/>
    <tableColumn id="5" xr3:uid="{2E32D983-2F5F-4337-B259-09CE996ECC59}" name="휴대폰" dataDxfId="51"/>
    <tableColumn id="6" xr3:uid="{50B63809-D5BE-4126-A95D-CE2294F1B601}" name="비고" dataDxfId="50"/>
  </tableColumns>
  <tableStyleInfo name="표 스타일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AA15590-BD57-493F-A117-55AB7BCCA20A}" name="표1_349" displayName="표1_349" ref="B3:J28" totalsRowShown="0" headerRowDxfId="49" dataDxfId="48">
  <tableColumns count="9">
    <tableColumn id="1" xr3:uid="{1ACD8FB4-4DCE-4832-8552-A56216ED2B35}" name="No." dataDxfId="47">
      <calculatedColumnFormula>ROW()-3</calculatedColumnFormula>
    </tableColumn>
    <tableColumn id="3" xr3:uid="{CC812C8E-5883-4710-B6C0-ECA4723C9444}" name="시스템" dataDxfId="46"/>
    <tableColumn id="17" xr3:uid="{72935582-C963-47A5-ADD3-16E6C571E8C0}" name="권한" dataDxfId="45"/>
    <tableColumn id="18" xr3:uid="{8E3B0736-DC5E-4D96-B441-4DCEA61A546A}" name="ID" dataDxfId="44"/>
    <tableColumn id="2" xr3:uid="{7FAC89BD-A8CD-4DB7-9A0C-B6A99425792E}" name="Password" dataDxfId="43" dataCellStyle="표준 2"/>
    <tableColumn id="15" xr3:uid="{5E440798-29EC-40FB-9AA5-C2C77D468A55}" name="Tester" dataDxfId="42"/>
    <tableColumn id="19" xr3:uid="{6D6F3DBC-7576-4700-AEB1-17E1EB005914}" name="이메일" dataDxfId="41"/>
    <tableColumn id="5" xr3:uid="{5195CEA4-C0D8-42F2-A562-206040035A13}" name="휴대폰" dataDxfId="40"/>
    <tableColumn id="6" xr3:uid="{09BE049F-E355-4E3A-8A2A-D3B438C199BE}" name="비고" dataDxfId="39"/>
  </tableColumns>
  <tableStyleInfo name="표 스타일 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Normal="100" zoomScaleSheetLayoutView="86" workbookViewId="0">
      <selection activeCell="R22" sqref="R22"/>
    </sheetView>
  </sheetViews>
  <sheetFormatPr defaultColWidth="8.88671875" defaultRowHeight="13.5"/>
  <cols>
    <col min="1" max="10" width="8.88671875" style="13"/>
    <col min="11" max="16384" width="8.88671875" style="11"/>
  </cols>
  <sheetData>
    <row r="1" spans="1:10" s="10" customFormat="1" ht="12" customHeight="1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s="10" customFormat="1" ht="12" customHeight="1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s="10" customFormat="1" ht="12" customHeight="1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s="10" customFormat="1" ht="12" customHeight="1">
      <c r="A4" s="9"/>
      <c r="B4" s="9"/>
      <c r="C4" s="9"/>
      <c r="D4" s="9"/>
      <c r="E4" s="9"/>
      <c r="F4" s="9"/>
      <c r="G4" s="9"/>
      <c r="H4" s="9"/>
      <c r="I4" s="9"/>
      <c r="J4" s="9"/>
    </row>
    <row r="5" spans="1:10" s="10" customFormat="1" ht="12" customHeight="1">
      <c r="A5" s="9"/>
      <c r="B5" s="9"/>
      <c r="C5" s="9"/>
      <c r="D5" s="9"/>
      <c r="E5" s="9"/>
      <c r="F5" s="9"/>
      <c r="G5" s="9"/>
      <c r="H5" s="9"/>
      <c r="I5" s="9"/>
      <c r="J5" s="9"/>
    </row>
    <row r="6" spans="1:10" s="10" customFormat="1" ht="12" customHeight="1">
      <c r="A6" s="9"/>
      <c r="B6" s="9"/>
      <c r="C6" s="9"/>
      <c r="D6" s="9"/>
      <c r="E6" s="9"/>
      <c r="F6" s="9"/>
      <c r="G6" s="9"/>
      <c r="H6" s="9"/>
      <c r="I6" s="9"/>
      <c r="J6" s="9"/>
    </row>
    <row r="7" spans="1:10" ht="13.7" customHeight="1">
      <c r="A7" s="9"/>
      <c r="B7" s="9"/>
      <c r="C7" s="9"/>
      <c r="D7" s="9"/>
      <c r="E7" s="9"/>
      <c r="F7" s="9"/>
      <c r="G7" s="9"/>
      <c r="H7" s="9"/>
      <c r="I7" s="9"/>
      <c r="J7" s="9"/>
    </row>
    <row r="8" spans="1:10" ht="13.7" customHeight="1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ht="13.7" customHeight="1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 ht="13.7" customHeight="1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 ht="13.7" customHeight="1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spans="1:10" ht="13.7" customHeight="1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13.7" customHeight="1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ht="13.7" customHeight="1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ht="13.7" customHeight="1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t="13.7" customHeight="1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ht="13.7" customHeight="1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0" ht="13.7" customHeight="1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ht="13.7" customHeight="1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 ht="13.7" customHeight="1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ht="13.7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0" ht="13.7" customHeight="1">
      <c r="A22" s="9"/>
      <c r="B22" s="9"/>
      <c r="C22" s="9"/>
      <c r="D22" s="9"/>
      <c r="E22" s="9"/>
      <c r="F22" s="12"/>
      <c r="G22" s="12"/>
      <c r="H22" s="9"/>
      <c r="I22" s="9"/>
      <c r="J22" s="9"/>
    </row>
    <row r="23" spans="1:10" ht="13.7" customHeight="1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0" ht="13.7" customHeight="1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0" ht="17.25" customHeight="1">
      <c r="A25" s="9"/>
      <c r="B25" s="298" t="s">
        <v>9</v>
      </c>
      <c r="C25" s="299"/>
      <c r="D25" s="300" t="s">
        <v>8</v>
      </c>
      <c r="E25" s="301"/>
      <c r="F25" s="301"/>
      <c r="G25" s="301"/>
      <c r="H25" s="301"/>
      <c r="I25" s="302"/>
      <c r="J25" s="9"/>
    </row>
    <row r="26" spans="1:10" ht="17.25" customHeight="1">
      <c r="A26" s="9"/>
      <c r="B26" s="298" t="s">
        <v>10</v>
      </c>
      <c r="C26" s="299"/>
      <c r="D26" s="298" t="s">
        <v>275</v>
      </c>
      <c r="E26" s="299"/>
      <c r="F26" s="298" t="s">
        <v>11</v>
      </c>
      <c r="G26" s="299"/>
      <c r="H26" s="296">
        <v>43629</v>
      </c>
      <c r="I26" s="297"/>
      <c r="J26" s="9"/>
    </row>
    <row r="27" spans="1:10" ht="17.25" customHeight="1">
      <c r="A27" s="9"/>
      <c r="B27" s="298" t="s">
        <v>12</v>
      </c>
      <c r="C27" s="299"/>
      <c r="D27" s="298"/>
      <c r="E27" s="299"/>
      <c r="F27" s="298" t="s">
        <v>13</v>
      </c>
      <c r="G27" s="299"/>
      <c r="H27" s="296"/>
      <c r="I27" s="297"/>
      <c r="J27" s="9"/>
    </row>
    <row r="28" spans="1:10" ht="13.7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13.7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13.7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</sheetData>
  <customSheetViews>
    <customSheetView guid="{9E41C106-8555-4D00-9C60-0A4D2648D9CB}" scale="86" showPageBreaks="1" view="pageBreakPreview" topLeftCell="A28">
      <selection activeCell="H63" sqref="H63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1"/>
      <headerFooter alignWithMargins="0"/>
    </customSheetView>
    <customSheetView guid="{6B4CEAB6-6476-40EF-9561-4F8D85AFD37C}" scale="86" showPageBreaks="1" view="pageBreakPreview" topLeftCell="A34">
      <selection activeCell="M34" sqref="M34"/>
      <rowBreaks count="1" manualBreakCount="1">
        <brk id="27" max="16383" man="1"/>
      </rowBreaks>
      <pageMargins left="0.39370078740157483" right="0.39370078740157483" top="0.59055118110236227" bottom="0.78740157480314965" header="0.39370078740157483" footer="0.39370078740157483"/>
      <printOptions horizontalCentered="1" verticalCentered="1"/>
      <pageSetup paperSize="9" orientation="landscape" r:id="rId2"/>
      <headerFooter alignWithMargins="0"/>
    </customSheetView>
  </customSheetViews>
  <mergeCells count="10">
    <mergeCell ref="H26:I26"/>
    <mergeCell ref="D27:E27"/>
    <mergeCell ref="H27:I27"/>
    <mergeCell ref="D25:I25"/>
    <mergeCell ref="B25:C25"/>
    <mergeCell ref="B26:C26"/>
    <mergeCell ref="B27:C27"/>
    <mergeCell ref="F26:G26"/>
    <mergeCell ref="F27:G27"/>
    <mergeCell ref="D26:E26"/>
  </mergeCells>
  <phoneticPr fontId="3" type="noConversion"/>
  <printOptions horizontalCentered="1" verticalCentered="1"/>
  <pageMargins left="0.39370078740157483" right="0.39370078740157483" top="0.59055118110236227" bottom="0.78740157480314965" header="0.39370078740157483" footer="0.39370078740157483"/>
  <pageSetup paperSize="9" orientation="landscape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8"/>
  <sheetViews>
    <sheetView zoomScaleNormal="100" workbookViewId="0">
      <selection activeCell="F35" sqref="F35"/>
    </sheetView>
  </sheetViews>
  <sheetFormatPr defaultRowHeight="13.5"/>
  <cols>
    <col min="1" max="2" width="12.77734375" customWidth="1"/>
    <col min="3" max="5" width="19.77734375" customWidth="1"/>
    <col min="6" max="6" width="18.77734375" customWidth="1"/>
    <col min="7" max="7" width="12.77734375" customWidth="1"/>
  </cols>
  <sheetData>
    <row r="1" spans="1:18" ht="26.25" customHeight="1"/>
    <row r="2" spans="1:18" ht="13.7" customHeight="1"/>
    <row r="3" spans="1:18" ht="14.25" customHeight="1"/>
    <row r="6" spans="1:18" ht="20.25" customHeight="1">
      <c r="A6" s="305" t="s">
        <v>0</v>
      </c>
      <c r="B6" s="305"/>
      <c r="C6" s="305"/>
      <c r="D6" s="305"/>
      <c r="E6" s="305"/>
      <c r="F6" s="305"/>
      <c r="G6" s="305"/>
    </row>
    <row r="7" spans="1:18" ht="16.5" customHeight="1">
      <c r="A7" s="305"/>
      <c r="B7" s="305"/>
      <c r="C7" s="305"/>
      <c r="D7" s="305"/>
      <c r="E7" s="305"/>
      <c r="F7" s="305"/>
      <c r="G7" s="305"/>
    </row>
    <row r="8" spans="1:18">
      <c r="A8" s="14" t="s">
        <v>4</v>
      </c>
      <c r="B8" s="15" t="s">
        <v>5</v>
      </c>
      <c r="C8" s="304" t="s">
        <v>6</v>
      </c>
      <c r="D8" s="304"/>
      <c r="E8" s="304"/>
      <c r="F8" s="304"/>
      <c r="G8" s="15" t="s">
        <v>7</v>
      </c>
    </row>
    <row r="9" spans="1:18">
      <c r="A9" s="16">
        <v>0.1</v>
      </c>
      <c r="B9" s="18">
        <v>43606</v>
      </c>
      <c r="C9" s="303" t="s">
        <v>15</v>
      </c>
      <c r="D9" s="303"/>
      <c r="E9" s="303"/>
      <c r="F9" s="303"/>
      <c r="G9" s="19" t="s">
        <v>63</v>
      </c>
    </row>
    <row r="10" spans="1:18">
      <c r="A10" s="16">
        <v>0.2</v>
      </c>
      <c r="B10" s="18">
        <v>43620</v>
      </c>
      <c r="C10" s="303" t="s">
        <v>276</v>
      </c>
      <c r="D10" s="303"/>
      <c r="E10" s="303"/>
      <c r="F10" s="303"/>
      <c r="G10" s="19" t="s">
        <v>275</v>
      </c>
    </row>
    <row r="11" spans="1:18">
      <c r="A11" s="16">
        <v>0.3</v>
      </c>
      <c r="B11" s="18">
        <v>43621</v>
      </c>
      <c r="C11" s="303" t="s">
        <v>277</v>
      </c>
      <c r="D11" s="303"/>
      <c r="E11" s="303"/>
      <c r="F11" s="303"/>
      <c r="G11" s="19" t="s">
        <v>63</v>
      </c>
    </row>
    <row r="12" spans="1:18" ht="13.7" customHeight="1">
      <c r="A12" s="16">
        <v>0.4</v>
      </c>
      <c r="B12" s="18">
        <v>43623</v>
      </c>
      <c r="C12" s="303" t="s">
        <v>278</v>
      </c>
      <c r="D12" s="303"/>
      <c r="E12" s="303"/>
      <c r="F12" s="303"/>
      <c r="G12" s="19" t="s">
        <v>275</v>
      </c>
    </row>
    <row r="13" spans="1:18" ht="14.25" customHeight="1">
      <c r="A13" s="16">
        <v>0.5</v>
      </c>
      <c r="B13" s="18">
        <v>43626</v>
      </c>
      <c r="C13" s="303" t="s">
        <v>279</v>
      </c>
      <c r="D13" s="303"/>
      <c r="E13" s="303"/>
      <c r="F13" s="303"/>
      <c r="G13" s="19" t="s">
        <v>63</v>
      </c>
    </row>
    <row r="14" spans="1:18">
      <c r="A14" s="16">
        <v>0.6</v>
      </c>
      <c r="B14" s="18">
        <v>43627</v>
      </c>
      <c r="C14" s="303" t="s">
        <v>333</v>
      </c>
      <c r="D14" s="303"/>
      <c r="E14" s="303"/>
      <c r="F14" s="303"/>
      <c r="G14" s="19" t="s">
        <v>332</v>
      </c>
    </row>
    <row r="15" spans="1:18">
      <c r="A15" s="16">
        <v>0.7</v>
      </c>
      <c r="B15" s="18">
        <v>43628</v>
      </c>
      <c r="C15" s="303" t="s">
        <v>390</v>
      </c>
      <c r="D15" s="303"/>
      <c r="E15" s="303"/>
      <c r="F15" s="303"/>
      <c r="G15" s="19" t="s">
        <v>63</v>
      </c>
    </row>
    <row r="16" spans="1:18">
      <c r="A16" s="16">
        <v>0.71</v>
      </c>
      <c r="B16" s="18">
        <v>43629</v>
      </c>
      <c r="C16" s="303" t="s">
        <v>679</v>
      </c>
      <c r="D16" s="303"/>
      <c r="E16" s="303"/>
      <c r="F16" s="303"/>
      <c r="G16" s="19" t="s">
        <v>63</v>
      </c>
      <c r="R16" t="s">
        <v>16</v>
      </c>
    </row>
    <row r="17" spans="1:7">
      <c r="A17" s="16"/>
      <c r="B17" s="2"/>
      <c r="C17" s="303"/>
      <c r="D17" s="303"/>
      <c r="E17" s="303"/>
      <c r="F17" s="303"/>
      <c r="G17" s="7"/>
    </row>
    <row r="18" spans="1:7">
      <c r="A18" s="16"/>
      <c r="B18" s="2"/>
      <c r="C18" s="303"/>
      <c r="D18" s="303"/>
      <c r="E18" s="303"/>
      <c r="F18" s="303"/>
      <c r="G18" s="7"/>
    </row>
    <row r="19" spans="1:7">
      <c r="A19" s="16"/>
      <c r="B19" s="2"/>
      <c r="C19" s="303"/>
      <c r="D19" s="303"/>
      <c r="E19" s="303"/>
      <c r="F19" s="303"/>
      <c r="G19" s="7"/>
    </row>
    <row r="20" spans="1:7">
      <c r="A20" s="16"/>
      <c r="B20" s="2"/>
      <c r="C20" s="303"/>
      <c r="D20" s="303"/>
      <c r="E20" s="303"/>
      <c r="F20" s="303"/>
      <c r="G20" s="7"/>
    </row>
    <row r="21" spans="1:7">
      <c r="A21" s="17"/>
      <c r="B21" s="5"/>
      <c r="C21" s="303"/>
      <c r="D21" s="303"/>
      <c r="E21" s="303"/>
      <c r="F21" s="303"/>
      <c r="G21" s="6"/>
    </row>
    <row r="22" spans="1:7">
      <c r="A22" s="17"/>
      <c r="B22" s="5"/>
      <c r="C22" s="303"/>
      <c r="D22" s="303"/>
      <c r="E22" s="303"/>
      <c r="F22" s="303"/>
      <c r="G22" s="8"/>
    </row>
    <row r="23" spans="1:7">
      <c r="A23" s="16"/>
      <c r="B23" s="2"/>
      <c r="C23" s="303"/>
      <c r="D23" s="303"/>
      <c r="E23" s="303"/>
      <c r="F23" s="303"/>
      <c r="G23" s="7"/>
    </row>
    <row r="24" spans="1:7">
      <c r="A24" s="16"/>
      <c r="B24" s="2"/>
      <c r="C24" s="303"/>
      <c r="D24" s="303"/>
      <c r="E24" s="303"/>
      <c r="F24" s="303"/>
      <c r="G24" s="7"/>
    </row>
    <row r="25" spans="1:7">
      <c r="A25" s="16"/>
      <c r="B25" s="2"/>
      <c r="C25" s="303"/>
      <c r="D25" s="303"/>
      <c r="E25" s="303"/>
      <c r="F25" s="303"/>
      <c r="G25" s="7"/>
    </row>
    <row r="26" spans="1:7">
      <c r="A26" s="16"/>
      <c r="B26" s="2"/>
      <c r="C26" s="303"/>
      <c r="D26" s="303"/>
      <c r="E26" s="303"/>
      <c r="F26" s="303"/>
      <c r="G26" s="7"/>
    </row>
    <row r="27" spans="1:7">
      <c r="A27" s="16"/>
      <c r="B27" s="2"/>
      <c r="C27" s="303"/>
      <c r="D27" s="303"/>
      <c r="E27" s="303"/>
      <c r="F27" s="303"/>
      <c r="G27" s="7"/>
    </row>
    <row r="28" spans="1:7">
      <c r="A28" s="16"/>
      <c r="B28" s="2"/>
      <c r="C28" s="303"/>
      <c r="D28" s="303"/>
      <c r="E28" s="303"/>
      <c r="F28" s="303"/>
      <c r="G28" s="7"/>
    </row>
  </sheetData>
  <mergeCells count="22">
    <mergeCell ref="A6:G7"/>
    <mergeCell ref="C10:F10"/>
    <mergeCell ref="C11:F11"/>
    <mergeCell ref="C12:F12"/>
    <mergeCell ref="C21:F21"/>
    <mergeCell ref="C14:F14"/>
    <mergeCell ref="C15:F15"/>
    <mergeCell ref="C16:F16"/>
    <mergeCell ref="C13:F13"/>
    <mergeCell ref="C26:F26"/>
    <mergeCell ref="C27:F27"/>
    <mergeCell ref="C28:F28"/>
    <mergeCell ref="C8:F8"/>
    <mergeCell ref="C9:F9"/>
    <mergeCell ref="C22:F22"/>
    <mergeCell ref="C23:F23"/>
    <mergeCell ref="C24:F24"/>
    <mergeCell ref="C19:F19"/>
    <mergeCell ref="C20:F20"/>
    <mergeCell ref="C17:F17"/>
    <mergeCell ref="C18:F18"/>
    <mergeCell ref="C25:F2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7" orientation="landscape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"/>
  <sheetViews>
    <sheetView zoomScaleNormal="100" workbookViewId="0">
      <selection activeCell="G23" sqref="G23"/>
    </sheetView>
  </sheetViews>
  <sheetFormatPr defaultRowHeight="13.5"/>
  <cols>
    <col min="1" max="1" width="18.21875" customWidth="1"/>
    <col min="2" max="2" width="12.77734375" customWidth="1"/>
    <col min="3" max="4" width="18.21875" customWidth="1"/>
    <col min="5" max="5" width="12.77734375" customWidth="1"/>
    <col min="6" max="7" width="18.21875" customWidth="1"/>
  </cols>
  <sheetData>
    <row r="1" spans="1:7" s="1" customFormat="1" ht="27" customHeight="1">
      <c r="A1" s="306" t="s">
        <v>18</v>
      </c>
      <c r="B1" s="307"/>
      <c r="C1" s="307"/>
      <c r="D1" s="307"/>
      <c r="E1" s="307"/>
      <c r="F1" s="307"/>
      <c r="G1" s="308"/>
    </row>
    <row r="2" spans="1:7" s="1" customFormat="1" ht="16.5" customHeight="1">
      <c r="A2" s="309"/>
      <c r="B2" s="3" t="s">
        <v>1</v>
      </c>
      <c r="C2" s="311" t="s">
        <v>8</v>
      </c>
      <c r="D2" s="312"/>
      <c r="E2" s="3" t="s">
        <v>2</v>
      </c>
      <c r="F2" s="311" t="s">
        <v>17</v>
      </c>
      <c r="G2" s="313"/>
    </row>
    <row r="3" spans="1:7" s="1" customFormat="1" ht="17.25" thickBot="1">
      <c r="A3" s="310"/>
      <c r="B3" s="4" t="s">
        <v>3</v>
      </c>
      <c r="C3" s="314" t="s">
        <v>275</v>
      </c>
      <c r="D3" s="315"/>
      <c r="E3" s="4" t="s">
        <v>14</v>
      </c>
      <c r="F3" s="316">
        <v>43629</v>
      </c>
      <c r="G3" s="317"/>
    </row>
    <row r="4" spans="1:7" ht="14.25" thickBot="1"/>
    <row r="5" spans="1:7" ht="26.25">
      <c r="A5" s="306" t="s">
        <v>18</v>
      </c>
      <c r="B5" s="307"/>
      <c r="C5" s="307"/>
      <c r="D5" s="307"/>
      <c r="E5" s="307"/>
      <c r="F5" s="307"/>
      <c r="G5" s="308"/>
    </row>
    <row r="6" spans="1:7" ht="16.5" customHeight="1">
      <c r="A6" s="309"/>
      <c r="B6" s="3" t="s">
        <v>1</v>
      </c>
      <c r="C6" s="311" t="s">
        <v>8</v>
      </c>
      <c r="D6" s="312"/>
      <c r="E6" s="3" t="s">
        <v>2</v>
      </c>
      <c r="F6" s="311" t="s">
        <v>17</v>
      </c>
      <c r="G6" s="313"/>
    </row>
    <row r="7" spans="1:7" ht="16.5" customHeight="1" thickBot="1">
      <c r="A7" s="310"/>
      <c r="B7" s="4" t="s">
        <v>3</v>
      </c>
      <c r="C7" s="314" t="s">
        <v>63</v>
      </c>
      <c r="D7" s="315"/>
      <c r="E7" s="4" t="s">
        <v>11</v>
      </c>
      <c r="F7" s="316">
        <v>43629</v>
      </c>
      <c r="G7" s="317"/>
    </row>
    <row r="8" spans="1:7" ht="14.25" customHeight="1"/>
  </sheetData>
  <mergeCells count="12">
    <mergeCell ref="A1:G1"/>
    <mergeCell ref="A2:A3"/>
    <mergeCell ref="C2:D2"/>
    <mergeCell ref="F2:G2"/>
    <mergeCell ref="C3:D3"/>
    <mergeCell ref="F3:G3"/>
    <mergeCell ref="A5:G5"/>
    <mergeCell ref="A6:A7"/>
    <mergeCell ref="C6:D6"/>
    <mergeCell ref="F6:G6"/>
    <mergeCell ref="C7:D7"/>
    <mergeCell ref="F7:G7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7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14BB-E22C-4EA3-9505-4AD62C66EF97}">
  <sheetPr>
    <pageSetUpPr fitToPage="1"/>
  </sheetPr>
  <dimension ref="A1:M38"/>
  <sheetViews>
    <sheetView zoomScaleNormal="100" workbookViewId="0">
      <selection activeCell="R14" sqref="R14"/>
    </sheetView>
  </sheetViews>
  <sheetFormatPr defaultColWidth="8.88671875" defaultRowHeight="12" outlineLevelRow="1"/>
  <cols>
    <col min="1" max="1" width="2.77734375" style="22" customWidth="1"/>
    <col min="2" max="3" width="9.77734375" style="23" customWidth="1"/>
    <col min="4" max="13" width="9.77734375" style="22" customWidth="1"/>
    <col min="14" max="16384" width="8.88671875" style="22"/>
  </cols>
  <sheetData>
    <row r="1" spans="1:13" ht="66" customHeight="1">
      <c r="B1" s="20"/>
      <c r="C1" s="20"/>
      <c r="D1" s="21"/>
      <c r="E1" s="21"/>
    </row>
    <row r="2" spans="1:13">
      <c r="B2" s="41"/>
      <c r="C2" s="41"/>
      <c r="D2" s="21"/>
      <c r="E2" s="21"/>
    </row>
    <row r="3" spans="1:13" s="28" customFormat="1" ht="13.5" outlineLevel="1">
      <c r="A3" s="29"/>
      <c r="B3" s="318" t="s">
        <v>61</v>
      </c>
      <c r="C3" s="318"/>
      <c r="D3" s="47"/>
      <c r="E3" s="40"/>
    </row>
    <row r="4" spans="1:13" ht="9.9499999999999993" customHeight="1" outlineLevel="1">
      <c r="B4" s="48"/>
      <c r="C4" s="48"/>
      <c r="D4" s="40"/>
      <c r="E4" s="40"/>
      <c r="F4" s="28"/>
      <c r="G4" s="28"/>
      <c r="H4" s="28"/>
      <c r="I4" s="28"/>
      <c r="J4" s="28"/>
      <c r="K4" s="28"/>
      <c r="L4" s="28"/>
      <c r="M4" s="28"/>
    </row>
    <row r="5" spans="1:13" s="24" customFormat="1" outlineLevel="1">
      <c r="A5" s="26"/>
      <c r="B5" s="148" t="s">
        <v>31</v>
      </c>
      <c r="C5" s="149" t="s">
        <v>26</v>
      </c>
      <c r="D5" s="149" t="s">
        <v>27</v>
      </c>
      <c r="E5" s="149" t="s">
        <v>28</v>
      </c>
      <c r="F5" s="149" t="s">
        <v>30</v>
      </c>
      <c r="G5" s="149" t="s">
        <v>29</v>
      </c>
      <c r="H5" s="149" t="s">
        <v>48</v>
      </c>
      <c r="I5" s="149" t="s">
        <v>49</v>
      </c>
      <c r="J5" s="149" t="s">
        <v>50</v>
      </c>
      <c r="K5" s="149" t="s">
        <v>51</v>
      </c>
      <c r="L5" s="149" t="s">
        <v>52</v>
      </c>
      <c r="M5" s="150" t="s">
        <v>53</v>
      </c>
    </row>
    <row r="6" spans="1:13" s="24" customFormat="1" ht="13.5" outlineLevel="1">
      <c r="A6" s="26"/>
      <c r="B6" s="151" t="s">
        <v>56</v>
      </c>
      <c r="C6" s="152"/>
      <c r="D6" s="152"/>
      <c r="E6" s="152"/>
      <c r="F6" s="152"/>
      <c r="G6" s="153"/>
      <c r="H6" s="154">
        <f>SUM(표3_5[[#This Row],[Pass]:[N/A]])</f>
        <v>0</v>
      </c>
      <c r="I6" s="155">
        <f>IFERROR(표3_5[[#This Row],[Total]]/표3_5[[#This Row],[시나리오 수]],0)</f>
        <v>0</v>
      </c>
      <c r="J6" s="155">
        <f>IFERROR(SUM(표3_5[[#This Row],[Pass]:[Fail]])/표3_5[[#This Row],[시나리오 수]],0)</f>
        <v>0</v>
      </c>
      <c r="K6" s="155">
        <f>IFERROR(표3_5[[#This Row],[Pass]]/SUM(표3_5[[#This Row],[Pass]:[Fail]]),0)</f>
        <v>0</v>
      </c>
      <c r="L6" s="155">
        <f>IFERROR((표3_5[[#This Row],[Fail]]/SUM(표3_5[[#This Row],[Pass]:[Fail]])),0)</f>
        <v>0</v>
      </c>
      <c r="M6" s="156">
        <f>IFERROR((표3_5[[#This Row],[N/A]]/표3_5[[#This Row],[시나리오 수]]),0)</f>
        <v>0</v>
      </c>
    </row>
    <row r="7" spans="1:13" s="24" customFormat="1" ht="13.5" outlineLevel="1">
      <c r="A7" s="26"/>
      <c r="B7" s="151" t="s">
        <v>54</v>
      </c>
      <c r="C7" s="152"/>
      <c r="D7" s="152"/>
      <c r="E7" s="152"/>
      <c r="F7" s="152"/>
      <c r="G7" s="153"/>
      <c r="H7" s="154">
        <f>SUM(표3_5[[#This Row],[Pass]:[N/A]])</f>
        <v>0</v>
      </c>
      <c r="I7" s="155">
        <f>IFERROR(표3_5[[#This Row],[Total]]/표3_5[[#This Row],[시나리오 수]],0)</f>
        <v>0</v>
      </c>
      <c r="J7" s="155">
        <f>IFERROR(SUM(표3_5[[#This Row],[Pass]:[Fail]])/표3_5[[#This Row],[시나리오 수]],0)</f>
        <v>0</v>
      </c>
      <c r="K7" s="155">
        <f>IFERROR(표3_5[[#This Row],[Pass]]/SUM(표3_5[[#This Row],[Pass]:[Fail]]),0)</f>
        <v>0</v>
      </c>
      <c r="L7" s="155">
        <f>IFERROR((표3_5[[#This Row],[Fail]]/SUM(표3_5[[#This Row],[Pass]:[Fail]])),0)</f>
        <v>0</v>
      </c>
      <c r="M7" s="156">
        <f>IFERROR((표3_5[[#This Row],[N/A]]/표3_5[[#This Row],[시나리오 수]]),0)</f>
        <v>0</v>
      </c>
    </row>
    <row r="8" spans="1:13" s="24" customFormat="1" ht="13.5" outlineLevel="1">
      <c r="A8" s="26"/>
      <c r="B8" s="151" t="s">
        <v>55</v>
      </c>
      <c r="C8" s="152"/>
      <c r="D8" s="152"/>
      <c r="E8" s="152"/>
      <c r="F8" s="152"/>
      <c r="G8" s="153"/>
      <c r="H8" s="154">
        <f>SUM(표3_5[[#This Row],[Pass]:[N/A]])</f>
        <v>0</v>
      </c>
      <c r="I8" s="155">
        <f>IFERROR(표3_5[[#This Row],[Total]]/표3_5[[#This Row],[시나리오 수]],0)</f>
        <v>0</v>
      </c>
      <c r="J8" s="155">
        <f>IFERROR(SUM(표3_5[[#This Row],[Pass]:[Fail]])/표3_5[[#This Row],[시나리오 수]],0)</f>
        <v>0</v>
      </c>
      <c r="K8" s="155">
        <f>IFERROR(표3_5[[#This Row],[Pass]]/SUM(표3_5[[#This Row],[Pass]:[Fail]]),0)</f>
        <v>0</v>
      </c>
      <c r="L8" s="155">
        <f>IFERROR((표3_5[[#This Row],[Fail]]/SUM(표3_5[[#This Row],[Pass]:[Fail]])),0)</f>
        <v>0</v>
      </c>
      <c r="M8" s="156">
        <f>IFERROR((표3_5[[#This Row],[N/A]]/표3_5[[#This Row],[시나리오 수]]),0)</f>
        <v>0</v>
      </c>
    </row>
    <row r="9" spans="1:13" s="24" customFormat="1" ht="13.5" outlineLevel="1">
      <c r="A9" s="26"/>
      <c r="B9" s="151" t="s">
        <v>56</v>
      </c>
      <c r="C9" s="152"/>
      <c r="D9" s="152"/>
      <c r="E9" s="152"/>
      <c r="F9" s="152"/>
      <c r="G9" s="157"/>
      <c r="H9" s="154">
        <f>SUM(표3_5[[#This Row],[Pass]:[N/A]])</f>
        <v>0</v>
      </c>
      <c r="I9" s="155">
        <f>IFERROR(표3_5[[#This Row],[Total]]/표3_5[[#This Row],[시나리오 수]],0)</f>
        <v>0</v>
      </c>
      <c r="J9" s="155">
        <f>IFERROR(SUM(표3_5[[#This Row],[Pass]:[Fail]])/표3_5[[#This Row],[시나리오 수]],0)</f>
        <v>0</v>
      </c>
      <c r="K9" s="155"/>
      <c r="L9" s="155">
        <f>IFERROR((표3_5[[#This Row],[Fail]]/SUM(표3_5[[#This Row],[Pass]:[Fail]])),0)</f>
        <v>0</v>
      </c>
      <c r="M9" s="156">
        <f>IFERROR((표3_5[[#This Row],[N/A]]/표3_5[[#This Row],[시나리오 수]]),0)</f>
        <v>0</v>
      </c>
    </row>
    <row r="10" spans="1:13" s="24" customFormat="1" ht="13.5" outlineLevel="1">
      <c r="A10" s="26"/>
      <c r="B10" s="158" t="s">
        <v>57</v>
      </c>
      <c r="C10" s="159">
        <f t="shared" ref="C10:H10" si="0">SUM(C6:C9)</f>
        <v>0</v>
      </c>
      <c r="D10" s="159">
        <f t="shared" si="0"/>
        <v>0</v>
      </c>
      <c r="E10" s="159">
        <f t="shared" si="0"/>
        <v>0</v>
      </c>
      <c r="F10" s="159">
        <f t="shared" si="0"/>
        <v>0</v>
      </c>
      <c r="G10" s="159">
        <f t="shared" si="0"/>
        <v>0</v>
      </c>
      <c r="H10" s="159">
        <f t="shared" si="0"/>
        <v>0</v>
      </c>
      <c r="I10" s="160">
        <f>IFERROR(표3_5[[#This Row],[Total]]/표3_5[[#This Row],[시나리오 수]],0)</f>
        <v>0</v>
      </c>
      <c r="J10" s="160">
        <f>IFERROR(SUM(표3_5[[#This Row],[Pass]:[Fail]])/표3_5[[#This Row],[시나리오 수]],0)</f>
        <v>0</v>
      </c>
      <c r="K10" s="160">
        <f>IFERROR(표3_5[[#This Row],[Pass]]/SUM(표3_5[[#This Row],[Pass]:[Fail]]),0)</f>
        <v>0</v>
      </c>
      <c r="L10" s="160">
        <f>IFERROR((표3_5[[#This Row],[Fail]]/SUM(표3_5[[#This Row],[Pass]:[Fail]])),0)</f>
        <v>0</v>
      </c>
      <c r="M10" s="161">
        <f>IFERROR((표3_5[[#This Row],[N/A]]/표3_5[[#This Row],[시나리오 수]]),0)</f>
        <v>0</v>
      </c>
    </row>
    <row r="11" spans="1:13" s="24" customFormat="1" ht="13.5" outlineLevel="1">
      <c r="B11" s="44"/>
      <c r="C11" s="45"/>
      <c r="D11" s="45"/>
      <c r="E11" s="45"/>
      <c r="F11" s="45"/>
      <c r="G11" s="45"/>
      <c r="H11" s="45"/>
      <c r="I11" s="46"/>
      <c r="J11" s="46"/>
      <c r="K11" s="46"/>
      <c r="L11" s="46"/>
      <c r="M11" s="46"/>
    </row>
    <row r="12" spans="1:13" s="24" customFormat="1" ht="13.5" outlineLevel="1">
      <c r="B12" s="318" t="s">
        <v>61</v>
      </c>
      <c r="C12" s="318"/>
      <c r="D12" s="47"/>
      <c r="E12" s="40"/>
      <c r="F12" s="28"/>
      <c r="G12" s="28"/>
      <c r="H12" s="28"/>
      <c r="I12" s="28"/>
      <c r="J12" s="28"/>
      <c r="K12" s="28"/>
      <c r="L12" s="28"/>
      <c r="M12" s="28"/>
    </row>
    <row r="13" spans="1:13" s="24" customFormat="1" outlineLevel="1">
      <c r="B13" s="48"/>
      <c r="C13" s="48"/>
      <c r="D13" s="40"/>
      <c r="E13" s="40"/>
      <c r="F13" s="28"/>
      <c r="G13" s="28"/>
      <c r="H13" s="28"/>
      <c r="I13" s="28"/>
      <c r="J13" s="28"/>
      <c r="K13" s="28"/>
      <c r="L13" s="28"/>
      <c r="M13" s="28"/>
    </row>
    <row r="14" spans="1:13" s="24" customFormat="1" outlineLevel="1">
      <c r="A14" s="26"/>
      <c r="B14" s="148" t="s">
        <v>31</v>
      </c>
      <c r="C14" s="149" t="s">
        <v>26</v>
      </c>
      <c r="D14" s="149" t="s">
        <v>27</v>
      </c>
      <c r="E14" s="149" t="s">
        <v>28</v>
      </c>
      <c r="F14" s="149" t="s">
        <v>30</v>
      </c>
      <c r="G14" s="149" t="s">
        <v>29</v>
      </c>
      <c r="H14" s="149" t="s">
        <v>48</v>
      </c>
      <c r="I14" s="149" t="s">
        <v>49</v>
      </c>
      <c r="J14" s="149" t="s">
        <v>50</v>
      </c>
      <c r="K14" s="149" t="s">
        <v>51</v>
      </c>
      <c r="L14" s="149" t="s">
        <v>52</v>
      </c>
      <c r="M14" s="150" t="s">
        <v>53</v>
      </c>
    </row>
    <row r="15" spans="1:13" s="24" customFormat="1" ht="13.5" outlineLevel="1">
      <c r="A15" s="26"/>
      <c r="B15" s="151" t="s">
        <v>56</v>
      </c>
      <c r="C15" s="152"/>
      <c r="D15" s="152"/>
      <c r="E15" s="152"/>
      <c r="F15" s="152"/>
      <c r="G15" s="153"/>
      <c r="H15" s="154">
        <f>SUM(표3_58[[#This Row],[Pass]:[N/A]])</f>
        <v>0</v>
      </c>
      <c r="I15" s="155">
        <f>IFERROR(표3_58[[#This Row],[Total]]/표3_58[[#This Row],[시나리오 수]],0)</f>
        <v>0</v>
      </c>
      <c r="J15" s="155">
        <f>IFERROR(SUM(표3_58[[#This Row],[Pass]:[Fail]])/표3_58[[#This Row],[시나리오 수]],0)</f>
        <v>0</v>
      </c>
      <c r="K15" s="155">
        <f>IFERROR(표3_58[[#This Row],[Pass]]/SUM(표3_58[[#This Row],[Pass]:[Fail]]),0)</f>
        <v>0</v>
      </c>
      <c r="L15" s="155">
        <f>IFERROR((표3_58[[#This Row],[Fail]]/SUM(표3_58[[#This Row],[Pass]:[Fail]])),0)</f>
        <v>0</v>
      </c>
      <c r="M15" s="156">
        <f>IFERROR((표3_58[[#This Row],[N/A]]/표3_58[[#This Row],[시나리오 수]]),0)</f>
        <v>0</v>
      </c>
    </row>
    <row r="16" spans="1:13" s="24" customFormat="1" ht="13.5" outlineLevel="1">
      <c r="A16" s="26"/>
      <c r="B16" s="151" t="s">
        <v>54</v>
      </c>
      <c r="C16" s="152"/>
      <c r="D16" s="152"/>
      <c r="E16" s="152"/>
      <c r="F16" s="152"/>
      <c r="G16" s="153"/>
      <c r="H16" s="154">
        <f>SUM(표3_58[[#This Row],[Pass]:[N/A]])</f>
        <v>0</v>
      </c>
      <c r="I16" s="155">
        <f>IFERROR(표3_58[[#This Row],[Total]]/표3_58[[#This Row],[시나리오 수]],0)</f>
        <v>0</v>
      </c>
      <c r="J16" s="155">
        <f>IFERROR(SUM(표3_58[[#This Row],[Pass]:[Fail]])/표3_58[[#This Row],[시나리오 수]],0)</f>
        <v>0</v>
      </c>
      <c r="K16" s="155">
        <f>IFERROR(표3_58[[#This Row],[Pass]]/SUM(표3_58[[#This Row],[Pass]:[Fail]]),0)</f>
        <v>0</v>
      </c>
      <c r="L16" s="155">
        <f>IFERROR((표3_58[[#This Row],[Fail]]/SUM(표3_58[[#This Row],[Pass]:[Fail]])),0)</f>
        <v>0</v>
      </c>
      <c r="M16" s="156">
        <f>IFERROR((표3_58[[#This Row],[N/A]]/표3_58[[#This Row],[시나리오 수]]),0)</f>
        <v>0</v>
      </c>
    </row>
    <row r="17" spans="1:13" s="24" customFormat="1" ht="13.5" outlineLevel="1">
      <c r="A17" s="26"/>
      <c r="B17" s="151" t="s">
        <v>55</v>
      </c>
      <c r="C17" s="152"/>
      <c r="D17" s="152"/>
      <c r="E17" s="152"/>
      <c r="F17" s="152"/>
      <c r="G17" s="153"/>
      <c r="H17" s="154">
        <f>SUM(표3_58[[#This Row],[Pass]:[N/A]])</f>
        <v>0</v>
      </c>
      <c r="I17" s="155">
        <f>IFERROR(표3_58[[#This Row],[Total]]/표3_58[[#This Row],[시나리오 수]],0)</f>
        <v>0</v>
      </c>
      <c r="J17" s="155">
        <f>IFERROR(SUM(표3_58[[#This Row],[Pass]:[Fail]])/표3_58[[#This Row],[시나리오 수]],0)</f>
        <v>0</v>
      </c>
      <c r="K17" s="155">
        <f>IFERROR(표3_58[[#This Row],[Pass]]/SUM(표3_58[[#This Row],[Pass]:[Fail]]),0)</f>
        <v>0</v>
      </c>
      <c r="L17" s="155">
        <f>IFERROR((표3_58[[#This Row],[Fail]]/SUM(표3_58[[#This Row],[Pass]:[Fail]])),0)</f>
        <v>0</v>
      </c>
      <c r="M17" s="156">
        <f>IFERROR((표3_58[[#This Row],[N/A]]/표3_58[[#This Row],[시나리오 수]]),0)</f>
        <v>0</v>
      </c>
    </row>
    <row r="18" spans="1:13" s="24" customFormat="1" ht="13.5" outlineLevel="1">
      <c r="A18" s="26"/>
      <c r="B18" s="151" t="s">
        <v>56</v>
      </c>
      <c r="C18" s="152"/>
      <c r="D18" s="152"/>
      <c r="E18" s="152"/>
      <c r="F18" s="152"/>
      <c r="G18" s="157"/>
      <c r="H18" s="154">
        <f>SUM(표3_58[[#This Row],[Pass]:[N/A]])</f>
        <v>0</v>
      </c>
      <c r="I18" s="155">
        <f>IFERROR(표3_58[[#This Row],[Total]]/표3_58[[#This Row],[시나리오 수]],0)</f>
        <v>0</v>
      </c>
      <c r="J18" s="155">
        <f>IFERROR(SUM(표3_58[[#This Row],[Pass]:[Fail]])/표3_58[[#This Row],[시나리오 수]],0)</f>
        <v>0</v>
      </c>
      <c r="K18" s="155"/>
      <c r="L18" s="155">
        <f>IFERROR((표3_58[[#This Row],[Fail]]/SUM(표3_58[[#This Row],[Pass]:[Fail]])),0)</f>
        <v>0</v>
      </c>
      <c r="M18" s="156">
        <f>IFERROR((표3_58[[#This Row],[N/A]]/표3_58[[#This Row],[시나리오 수]]),0)</f>
        <v>0</v>
      </c>
    </row>
    <row r="19" spans="1:13" s="24" customFormat="1" ht="13.5" outlineLevel="1">
      <c r="A19" s="26"/>
      <c r="B19" s="158" t="s">
        <v>57</v>
      </c>
      <c r="C19" s="159">
        <f t="shared" ref="C19:H19" si="1">SUM(C15:C18)</f>
        <v>0</v>
      </c>
      <c r="D19" s="159">
        <f t="shared" si="1"/>
        <v>0</v>
      </c>
      <c r="E19" s="159">
        <f t="shared" si="1"/>
        <v>0</v>
      </c>
      <c r="F19" s="159">
        <f t="shared" si="1"/>
        <v>0</v>
      </c>
      <c r="G19" s="159">
        <f t="shared" si="1"/>
        <v>0</v>
      </c>
      <c r="H19" s="159">
        <f t="shared" si="1"/>
        <v>0</v>
      </c>
      <c r="I19" s="160">
        <f>IFERROR(표3_58[[#This Row],[Total]]/표3_58[[#This Row],[시나리오 수]],0)</f>
        <v>0</v>
      </c>
      <c r="J19" s="160">
        <f>IFERROR(SUM(표3_58[[#This Row],[Pass]:[Fail]])/표3_58[[#This Row],[시나리오 수]],0)</f>
        <v>0</v>
      </c>
      <c r="K19" s="160">
        <f>IFERROR(표3_58[[#This Row],[Pass]]/SUM(표3_58[[#This Row],[Pass]:[Fail]]),0)</f>
        <v>0</v>
      </c>
      <c r="L19" s="160">
        <f>IFERROR((표3_58[[#This Row],[Fail]]/SUM(표3_58[[#This Row],[Pass]:[Fail]])),0)</f>
        <v>0</v>
      </c>
      <c r="M19" s="161">
        <f>IFERROR((표3_58[[#This Row],[N/A]]/표3_58[[#This Row],[시나리오 수]]),0)</f>
        <v>0</v>
      </c>
    </row>
    <row r="20" spans="1:13" s="24" customFormat="1" ht="13.5" outlineLevel="1">
      <c r="B20" s="44"/>
      <c r="C20" s="45"/>
      <c r="D20" s="45"/>
      <c r="E20" s="45"/>
      <c r="F20" s="45"/>
      <c r="G20" s="45"/>
      <c r="H20" s="45"/>
      <c r="I20" s="46"/>
      <c r="J20" s="46"/>
      <c r="K20" s="46"/>
      <c r="L20" s="46"/>
      <c r="M20" s="46"/>
    </row>
    <row r="21" spans="1:13">
      <c r="B21" s="319" t="s">
        <v>59</v>
      </c>
      <c r="C21" s="319"/>
      <c r="D21" s="21"/>
      <c r="E21" s="21"/>
    </row>
    <row r="22" spans="1:13">
      <c r="B22" s="27"/>
      <c r="C22" s="27"/>
      <c r="D22" s="40"/>
      <c r="E22" s="40"/>
      <c r="F22" s="28"/>
      <c r="G22" s="28"/>
      <c r="H22" s="28"/>
      <c r="I22" s="28"/>
      <c r="J22" s="28"/>
      <c r="K22" s="28"/>
      <c r="L22" s="28"/>
      <c r="M22" s="28"/>
    </row>
    <row r="23" spans="1:13">
      <c r="A23" s="25"/>
      <c r="B23" s="148" t="s">
        <v>60</v>
      </c>
      <c r="C23" s="149" t="s">
        <v>26</v>
      </c>
      <c r="D23" s="149" t="s">
        <v>27</v>
      </c>
      <c r="E23" s="149" t="s">
        <v>28</v>
      </c>
      <c r="F23" s="149" t="s">
        <v>30</v>
      </c>
      <c r="G23" s="149" t="s">
        <v>29</v>
      </c>
      <c r="H23" s="149" t="s">
        <v>48</v>
      </c>
      <c r="I23" s="149" t="s">
        <v>49</v>
      </c>
      <c r="J23" s="149" t="s">
        <v>50</v>
      </c>
      <c r="K23" s="149" t="s">
        <v>51</v>
      </c>
      <c r="L23" s="149" t="s">
        <v>52</v>
      </c>
      <c r="M23" s="150" t="s">
        <v>53</v>
      </c>
    </row>
    <row r="24" spans="1:13" ht="13.5">
      <c r="A24" s="25"/>
      <c r="B24" s="151" t="s">
        <v>350</v>
      </c>
      <c r="C24" s="152"/>
      <c r="D24" s="152"/>
      <c r="E24" s="152"/>
      <c r="F24" s="152"/>
      <c r="G24" s="153"/>
      <c r="H24" s="154">
        <f>SUM(표3_6[[#This Row],[Pass]:[N/A]])</f>
        <v>0</v>
      </c>
      <c r="I24" s="155">
        <f>IFERROR(표3_6[[#This Row],[Total]]/표3_6[[#This Row],[시나리오 수]],0)</f>
        <v>0</v>
      </c>
      <c r="J24" s="155">
        <f>IFERROR(SUM(표3_6[[#This Row],[Pass]:[Fail]])/표3_6[[#This Row],[시나리오 수]],0)</f>
        <v>0</v>
      </c>
      <c r="K24" s="155">
        <f>IFERROR(표3_6[[#This Row],[Pass]]/SUM(표3_6[[#This Row],[Pass]:[Fail]]),0)</f>
        <v>0</v>
      </c>
      <c r="L24" s="155">
        <f>IFERROR((표3_6[[#This Row],[Fail]]/SUM(표3_6[[#This Row],[Pass]:[Fail]])),0)</f>
        <v>0</v>
      </c>
      <c r="M24" s="156">
        <f>IFERROR((표3_6[[#This Row],[N/A]]/표3_6[[#This Row],[시나리오 수]]),0)</f>
        <v>0</v>
      </c>
    </row>
    <row r="25" spans="1:13" ht="13.5">
      <c r="A25" s="25"/>
      <c r="B25" s="151" t="s">
        <v>351</v>
      </c>
      <c r="C25" s="152"/>
      <c r="D25" s="152"/>
      <c r="E25" s="152"/>
      <c r="F25" s="152"/>
      <c r="G25" s="153"/>
      <c r="H25" s="154">
        <f>SUM(표3_6[[#This Row],[Pass]:[N/A]])</f>
        <v>0</v>
      </c>
      <c r="I25" s="155">
        <f>IFERROR(표3_6[[#This Row],[Total]]/표3_6[[#This Row],[시나리오 수]],0)</f>
        <v>0</v>
      </c>
      <c r="J25" s="155">
        <f>IFERROR(SUM(표3_6[[#This Row],[Pass]:[Fail]])/표3_6[[#This Row],[시나리오 수]],0)</f>
        <v>0</v>
      </c>
      <c r="K25" s="155">
        <f>IFERROR(표3_6[[#This Row],[Pass]]/SUM(표3_6[[#This Row],[Pass]:[Fail]]),0)</f>
        <v>0</v>
      </c>
      <c r="L25" s="155">
        <f>IFERROR((표3_6[[#This Row],[Fail]]/SUM(표3_6[[#This Row],[Pass]:[Fail]])),0)</f>
        <v>0</v>
      </c>
      <c r="M25" s="156">
        <f>IFERROR((표3_6[[#This Row],[N/A]]/표3_6[[#This Row],[시나리오 수]]),0)</f>
        <v>0</v>
      </c>
    </row>
    <row r="26" spans="1:13" ht="13.5">
      <c r="A26" s="25"/>
      <c r="B26" s="151" t="s">
        <v>58</v>
      </c>
      <c r="C26" s="152"/>
      <c r="D26" s="152"/>
      <c r="E26" s="152"/>
      <c r="F26" s="152"/>
      <c r="G26" s="153"/>
      <c r="H26" s="154">
        <f>SUM(표3_6[[#This Row],[Pass]:[N/A]])</f>
        <v>0</v>
      </c>
      <c r="I26" s="155">
        <f>IFERROR(표3_6[[#This Row],[Total]]/표3_6[[#This Row],[시나리오 수]],0)</f>
        <v>0</v>
      </c>
      <c r="J26" s="155">
        <f>IFERROR(SUM(표3_6[[#This Row],[Pass]:[Fail]])/표3_6[[#This Row],[시나리오 수]],0)</f>
        <v>0</v>
      </c>
      <c r="K26" s="155">
        <f>IFERROR(표3_6[[#This Row],[Pass]]/SUM(표3_6[[#This Row],[Pass]:[Fail]]),0)</f>
        <v>0</v>
      </c>
      <c r="L26" s="155">
        <f>IFERROR((표3_6[[#This Row],[Fail]]/SUM(표3_6[[#This Row],[Pass]:[Fail]])),0)</f>
        <v>0</v>
      </c>
      <c r="M26" s="156">
        <f>IFERROR((표3_6[[#This Row],[N/A]]/표3_6[[#This Row],[시나리오 수]]),0)</f>
        <v>0</v>
      </c>
    </row>
    <row r="27" spans="1:13" ht="13.5">
      <c r="A27" s="25"/>
      <c r="B27" s="151"/>
      <c r="C27" s="152"/>
      <c r="D27" s="152"/>
      <c r="E27" s="152"/>
      <c r="F27" s="152"/>
      <c r="G27" s="157"/>
      <c r="H27" s="154"/>
      <c r="I27" s="155">
        <f>IFERROR(표3_6[[#This Row],[Total]]/표3_6[[#This Row],[시나리오 수]],0)</f>
        <v>0</v>
      </c>
      <c r="J27" s="155">
        <f>IFERROR(SUM(표3_6[[#This Row],[Pass]:[Fail]])/표3_6[[#This Row],[시나리오 수]],0)</f>
        <v>0</v>
      </c>
      <c r="K27" s="155"/>
      <c r="L27" s="155">
        <f>IFERROR((표3_6[[#This Row],[Fail]]/SUM(표3_6[[#This Row],[Pass]:[Fail]])),0)</f>
        <v>0</v>
      </c>
      <c r="M27" s="156">
        <f>IFERROR((표3_6[[#This Row],[N/A]]/표3_6[[#This Row],[시나리오 수]]),0)</f>
        <v>0</v>
      </c>
    </row>
    <row r="28" spans="1:13" ht="13.5">
      <c r="A28" s="25"/>
      <c r="B28" s="151"/>
      <c r="C28" s="152"/>
      <c r="D28" s="152"/>
      <c r="E28" s="152"/>
      <c r="F28" s="152"/>
      <c r="G28" s="153"/>
      <c r="H28" s="154">
        <f>SUM(표3_6[[#This Row],[Pass]:[N/A]])</f>
        <v>0</v>
      </c>
      <c r="I28" s="155">
        <f>IFERROR(표3_6[[#This Row],[Total]]/표3_6[[#This Row],[시나리오 수]],0)</f>
        <v>0</v>
      </c>
      <c r="J28" s="155">
        <f>IFERROR(SUM(표3_6[[#This Row],[Pass]:[Fail]])/표3_6[[#This Row],[시나리오 수]],0)</f>
        <v>0</v>
      </c>
      <c r="K28" s="155">
        <f>IFERROR(표3_6[[#This Row],[Pass]]/SUM(표3_6[[#This Row],[Pass]:[Fail]]),0)</f>
        <v>0</v>
      </c>
      <c r="L28" s="155">
        <f>IFERROR((표3_6[[#This Row],[Fail]]/SUM(표3_6[[#This Row],[Pass]:[Fail]])),0)</f>
        <v>0</v>
      </c>
      <c r="M28" s="156">
        <f>IFERROR((표3_6[[#This Row],[N/A]]/표3_6[[#This Row],[시나리오 수]]),0)</f>
        <v>0</v>
      </c>
    </row>
    <row r="29" spans="1:13" ht="13.5">
      <c r="A29" s="25"/>
      <c r="B29" s="158" t="s">
        <v>57</v>
      </c>
      <c r="C29" s="162">
        <f t="shared" ref="C29:H29" si="2">SUM(C24:C28)</f>
        <v>0</v>
      </c>
      <c r="D29" s="162">
        <f t="shared" si="2"/>
        <v>0</v>
      </c>
      <c r="E29" s="162">
        <f t="shared" si="2"/>
        <v>0</v>
      </c>
      <c r="F29" s="162">
        <f t="shared" si="2"/>
        <v>0</v>
      </c>
      <c r="G29" s="162">
        <f t="shared" si="2"/>
        <v>0</v>
      </c>
      <c r="H29" s="162">
        <f t="shared" si="2"/>
        <v>0</v>
      </c>
      <c r="I29" s="163">
        <f>IFERROR(표3_6[[#This Row],[Total]]/표3_6[[#This Row],[시나리오 수]],0)</f>
        <v>0</v>
      </c>
      <c r="J29" s="163">
        <f>IFERROR(SUM(표3_6[[#This Row],[Pass]:[Fail]])/표3_6[[#This Row],[시나리오 수]],0)</f>
        <v>0</v>
      </c>
      <c r="K29" s="163">
        <f>IFERROR(표3_6[[#This Row],[Pass]]/SUM(표3_6[[#This Row],[Pass]:[Fail]]),0)</f>
        <v>0</v>
      </c>
      <c r="L29" s="163">
        <f>IFERROR((표3_6[[#This Row],[Fail]]/SUM(표3_6[[#This Row],[Pass]:[Fail]])),0)</f>
        <v>0</v>
      </c>
      <c r="M29" s="164">
        <f>IFERROR((표3_6[[#This Row],[N/A]]/표3_6[[#This Row],[시나리오 수]]),0)</f>
        <v>0</v>
      </c>
    </row>
    <row r="30" spans="1:13">
      <c r="B30" s="42"/>
      <c r="C30" s="42"/>
      <c r="D30" s="43"/>
      <c r="E30" s="43"/>
      <c r="F30" s="43"/>
      <c r="G30" s="43"/>
      <c r="H30" s="43"/>
      <c r="I30" s="43"/>
      <c r="J30" s="43"/>
      <c r="K30" s="43"/>
      <c r="L30" s="43"/>
      <c r="M30" s="43"/>
    </row>
    <row r="31" spans="1:13" hidden="1">
      <c r="A31" s="25"/>
      <c r="B31" s="148" t="s">
        <v>31</v>
      </c>
      <c r="C31" s="149" t="s">
        <v>26</v>
      </c>
      <c r="D31" s="149" t="s">
        <v>27</v>
      </c>
      <c r="E31" s="149" t="s">
        <v>28</v>
      </c>
      <c r="F31" s="149" t="s">
        <v>30</v>
      </c>
      <c r="G31" s="149" t="s">
        <v>29</v>
      </c>
      <c r="H31" s="149" t="s">
        <v>48</v>
      </c>
      <c r="I31" s="149" t="s">
        <v>49</v>
      </c>
      <c r="J31" s="149" t="s">
        <v>50</v>
      </c>
      <c r="K31" s="149" t="s">
        <v>51</v>
      </c>
      <c r="L31" s="149" t="s">
        <v>52</v>
      </c>
      <c r="M31" s="150" t="s">
        <v>53</v>
      </c>
    </row>
    <row r="32" spans="1:13" ht="13.5" hidden="1">
      <c r="A32" s="25"/>
      <c r="B32" s="151" t="s">
        <v>56</v>
      </c>
      <c r="C32" s="152"/>
      <c r="D32" s="152"/>
      <c r="E32" s="152"/>
      <c r="F32" s="152"/>
      <c r="G32" s="153"/>
      <c r="H32" s="154">
        <f>SUM(표3_57[[#This Row],[Pass]:[N/A]])</f>
        <v>0</v>
      </c>
      <c r="I32" s="155">
        <f>IFERROR(표3_57[[#This Row],[Total]]/표3_57[[#This Row],[시나리오 수]],0)</f>
        <v>0</v>
      </c>
      <c r="J32" s="155">
        <f>IFERROR(SUM(표3_57[[#This Row],[Pass]:[Fail]])/표3_57[[#This Row],[시나리오 수]],0)</f>
        <v>0</v>
      </c>
      <c r="K32" s="155">
        <f>IFERROR(표3_57[[#This Row],[Pass]]/SUM(표3_57[[#This Row],[Pass]:[Fail]]),0)</f>
        <v>0</v>
      </c>
      <c r="L32" s="155">
        <f>IFERROR((표3_57[[#This Row],[Fail]]/SUM(표3_57[[#This Row],[Pass]:[Fail]])),0)</f>
        <v>0</v>
      </c>
      <c r="M32" s="156">
        <f>IFERROR((표3_57[[#This Row],[N/A]]/표3_57[[#This Row],[시나리오 수]]),0)</f>
        <v>0</v>
      </c>
    </row>
    <row r="33" spans="1:13" ht="13.5" hidden="1">
      <c r="A33" s="25"/>
      <c r="B33" s="151" t="s">
        <v>54</v>
      </c>
      <c r="C33" s="152"/>
      <c r="D33" s="152"/>
      <c r="E33" s="152"/>
      <c r="F33" s="152"/>
      <c r="G33" s="153"/>
      <c r="H33" s="154">
        <f>SUM(표3_57[[#This Row],[Pass]:[N/A]])</f>
        <v>0</v>
      </c>
      <c r="I33" s="155">
        <f>IFERROR(표3_57[[#This Row],[Total]]/표3_57[[#This Row],[시나리오 수]],0)</f>
        <v>0</v>
      </c>
      <c r="J33" s="155">
        <f>IFERROR(SUM(표3_57[[#This Row],[Pass]:[Fail]])/표3_57[[#This Row],[시나리오 수]],0)</f>
        <v>0</v>
      </c>
      <c r="K33" s="155">
        <f>IFERROR(표3_57[[#This Row],[Pass]]/SUM(표3_57[[#This Row],[Pass]:[Fail]]),0)</f>
        <v>0</v>
      </c>
      <c r="L33" s="155">
        <f>IFERROR((표3_57[[#This Row],[Fail]]/SUM(표3_57[[#This Row],[Pass]:[Fail]])),0)</f>
        <v>0</v>
      </c>
      <c r="M33" s="156">
        <f>IFERROR((표3_57[[#This Row],[N/A]]/표3_57[[#This Row],[시나리오 수]]),0)</f>
        <v>0</v>
      </c>
    </row>
    <row r="34" spans="1:13" ht="13.5" hidden="1">
      <c r="A34" s="25"/>
      <c r="B34" s="151" t="s">
        <v>55</v>
      </c>
      <c r="C34" s="152"/>
      <c r="D34" s="152"/>
      <c r="E34" s="152"/>
      <c r="F34" s="152"/>
      <c r="G34" s="153"/>
      <c r="H34" s="154">
        <f>SUM(표3_57[[#This Row],[Pass]:[N/A]])</f>
        <v>0</v>
      </c>
      <c r="I34" s="155">
        <f>IFERROR(표3_57[[#This Row],[Total]]/표3_57[[#This Row],[시나리오 수]],0)</f>
        <v>0</v>
      </c>
      <c r="J34" s="155">
        <f>IFERROR(SUM(표3_57[[#This Row],[Pass]:[Fail]])/표3_57[[#This Row],[시나리오 수]],0)</f>
        <v>0</v>
      </c>
      <c r="K34" s="155">
        <f>IFERROR(표3_57[[#This Row],[Pass]]/SUM(표3_57[[#This Row],[Pass]:[Fail]]),0)</f>
        <v>0</v>
      </c>
      <c r="L34" s="155">
        <f>IFERROR((표3_57[[#This Row],[Fail]]/SUM(표3_57[[#This Row],[Pass]:[Fail]])),0)</f>
        <v>0</v>
      </c>
      <c r="M34" s="156">
        <f>IFERROR((표3_57[[#This Row],[N/A]]/표3_57[[#This Row],[시나리오 수]]),0)</f>
        <v>0</v>
      </c>
    </row>
    <row r="35" spans="1:13" ht="13.5" hidden="1">
      <c r="A35" s="25"/>
      <c r="B35" s="151" t="s">
        <v>56</v>
      </c>
      <c r="C35" s="152"/>
      <c r="D35" s="152"/>
      <c r="E35" s="152"/>
      <c r="F35" s="152"/>
      <c r="G35" s="157"/>
      <c r="H35" s="154"/>
      <c r="I35" s="155">
        <f>IFERROR(표3_57[[#This Row],[Total]]/표3_57[[#This Row],[시나리오 수]],0)</f>
        <v>0</v>
      </c>
      <c r="J35" s="155">
        <f>IFERROR(SUM(표3_57[[#This Row],[Pass]:[Fail]])/표3_57[[#This Row],[시나리오 수]],0)</f>
        <v>0</v>
      </c>
      <c r="K35" s="155"/>
      <c r="L35" s="155">
        <f>IFERROR((표3_57[[#This Row],[Fail]]/SUM(표3_57[[#This Row],[Pass]:[Fail]])),0)</f>
        <v>0</v>
      </c>
      <c r="M35" s="156">
        <f>IFERROR((표3_57[[#This Row],[N/A]]/표3_57[[#This Row],[시나리오 수]]),0)</f>
        <v>0</v>
      </c>
    </row>
    <row r="36" spans="1:13" ht="13.5" hidden="1">
      <c r="A36" s="25"/>
      <c r="B36" s="158" t="s">
        <v>57</v>
      </c>
      <c r="C36" s="162">
        <f t="shared" ref="C36:H36" si="3">SUM(C32:C35)</f>
        <v>0</v>
      </c>
      <c r="D36" s="162">
        <f t="shared" si="3"/>
        <v>0</v>
      </c>
      <c r="E36" s="162">
        <f t="shared" si="3"/>
        <v>0</v>
      </c>
      <c r="F36" s="162">
        <f t="shared" si="3"/>
        <v>0</v>
      </c>
      <c r="G36" s="162">
        <f t="shared" si="3"/>
        <v>0</v>
      </c>
      <c r="H36" s="162">
        <f t="shared" si="3"/>
        <v>0</v>
      </c>
      <c r="I36" s="163">
        <f>IFERROR(표3_57[[#This Row],[Total]]/표3_57[[#This Row],[시나리오 수]],0)</f>
        <v>0</v>
      </c>
      <c r="J36" s="163">
        <f>IFERROR(SUM(표3_57[[#This Row],[Pass]:[Fail]])/표3_57[[#This Row],[시나리오 수]],0)</f>
        <v>0</v>
      </c>
      <c r="K36" s="163">
        <f>IFERROR(표3_57[[#This Row],[Pass]]/SUM(표3_57[[#This Row],[Pass]:[Fail]]),0)</f>
        <v>0</v>
      </c>
      <c r="L36" s="163">
        <f>IFERROR((표3_57[[#This Row],[Fail]]/SUM(표3_57[[#This Row],[Pass]:[Fail]])),0)</f>
        <v>0</v>
      </c>
      <c r="M36" s="164">
        <f>IFERROR((표3_57[[#This Row],[N/A]]/표3_57[[#This Row],[시나리오 수]]),0)</f>
        <v>0</v>
      </c>
    </row>
    <row r="37" spans="1:13" hidden="1"/>
    <row r="38" spans="1:13" hidden="1"/>
  </sheetData>
  <mergeCells count="3">
    <mergeCell ref="B3:C3"/>
    <mergeCell ref="B21:C21"/>
    <mergeCell ref="B12:C12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2" orientation="landscape" verticalDpi="4" r:id="rId1"/>
  <drawing r:id="rId2"/>
  <legacyDrawing r:id="rId3"/>
  <tableParts count="4"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BF6-D2F0-472D-A395-C3FB90F13B2C}">
  <sheetPr>
    <pageSetUpPr fitToPage="1"/>
  </sheetPr>
  <dimension ref="A1:BE43"/>
  <sheetViews>
    <sheetView zoomScaleNormal="100" workbookViewId="0">
      <pane xSplit="16" ySplit="7" topLeftCell="Q8" activePane="bottomRight" state="frozen"/>
      <selection pane="topRight" activeCell="Q1" sqref="Q1"/>
      <selection pane="bottomLeft" activeCell="A8" sqref="A8"/>
      <selection pane="bottomRight" activeCell="B5" sqref="B5:B7"/>
    </sheetView>
  </sheetViews>
  <sheetFormatPr defaultRowHeight="13.5" outlineLevelCol="1"/>
  <cols>
    <col min="1" max="1" width="2" style="60" customWidth="1"/>
    <col min="2" max="2" width="10.77734375" style="60" customWidth="1"/>
    <col min="3" max="3" width="5.77734375" style="66" bestFit="1" customWidth="1"/>
    <col min="4" max="4" width="9.44140625" style="68" bestFit="1" customWidth="1"/>
    <col min="5" max="11" width="6.77734375" style="60" customWidth="1" outlineLevel="1"/>
    <col min="12" max="12" width="6.77734375" style="91" customWidth="1" outlineLevel="1"/>
    <col min="13" max="16" width="6.77734375" style="60" customWidth="1" outlineLevel="1"/>
    <col min="17" max="31" width="6.77734375" style="60" customWidth="1"/>
    <col min="32" max="34" width="6.77734375" style="91" customWidth="1"/>
    <col min="35" max="56" width="6.77734375" style="60" customWidth="1"/>
    <col min="57" max="16384" width="8.88671875" style="60"/>
  </cols>
  <sheetData>
    <row r="1" spans="1:57" ht="50.1" customHeight="1"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</row>
    <row r="2" spans="1:57" s="61" customFormat="1" ht="27.75" customHeight="1">
      <c r="C2" s="67"/>
      <c r="D2" s="69"/>
      <c r="E2" s="62"/>
      <c r="F2" s="62"/>
      <c r="G2" s="62"/>
      <c r="H2" s="62"/>
      <c r="I2" s="62"/>
      <c r="J2" s="62"/>
      <c r="K2" s="62"/>
      <c r="L2" s="92"/>
      <c r="M2" s="62"/>
      <c r="N2" s="62"/>
      <c r="O2" s="62"/>
      <c r="P2" s="62"/>
      <c r="AA2" s="62"/>
      <c r="AB2" s="62"/>
      <c r="AC2" s="62"/>
      <c r="AF2" s="92"/>
      <c r="AG2" s="92"/>
      <c r="AH2" s="92"/>
    </row>
    <row r="3" spans="1:57" s="91" customFormat="1">
      <c r="B3" s="76"/>
      <c r="C3" s="76"/>
      <c r="D3" s="76"/>
      <c r="E3" s="76"/>
      <c r="F3" s="76"/>
      <c r="G3" s="76"/>
      <c r="H3" s="76"/>
      <c r="I3" s="76"/>
      <c r="J3" s="76"/>
      <c r="K3" s="76"/>
      <c r="L3" s="94" t="s">
        <v>230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5" t="s">
        <v>168</v>
      </c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5" t="s">
        <v>229</v>
      </c>
      <c r="BA3" s="76"/>
      <c r="BB3" s="76"/>
      <c r="BC3" s="76"/>
      <c r="BD3" s="76"/>
    </row>
    <row r="4" spans="1:57" s="81" customFormat="1" ht="4.5" customHeight="1" thickBot="1">
      <c r="B4" s="80"/>
      <c r="C4" s="79"/>
      <c r="D4" s="78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77"/>
      <c r="AC4" s="77"/>
      <c r="AD4" s="77"/>
      <c r="AE4" s="77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</row>
    <row r="5" spans="1:57" s="71" customFormat="1" ht="13.5" customHeight="1">
      <c r="A5" s="70"/>
      <c r="B5" s="340" t="s">
        <v>169</v>
      </c>
      <c r="C5" s="340" t="s">
        <v>170</v>
      </c>
      <c r="D5" s="340" t="s">
        <v>171</v>
      </c>
      <c r="E5" s="320" t="s">
        <v>172</v>
      </c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4"/>
      <c r="Q5" s="320" t="s">
        <v>173</v>
      </c>
      <c r="R5" s="321"/>
      <c r="S5" s="321"/>
      <c r="T5" s="322"/>
      <c r="U5" s="323" t="s">
        <v>174</v>
      </c>
      <c r="V5" s="321"/>
      <c r="W5" s="321"/>
      <c r="X5" s="321"/>
      <c r="Y5" s="321"/>
      <c r="Z5" s="321"/>
      <c r="AA5" s="324"/>
      <c r="AB5" s="320" t="s">
        <v>175</v>
      </c>
      <c r="AC5" s="323"/>
      <c r="AD5" s="321"/>
      <c r="AE5" s="322"/>
      <c r="AF5" s="331" t="s">
        <v>231</v>
      </c>
      <c r="AG5" s="332"/>
      <c r="AH5" s="333"/>
      <c r="AI5" s="323" t="s">
        <v>176</v>
      </c>
      <c r="AJ5" s="324"/>
      <c r="AK5" s="320" t="s">
        <v>177</v>
      </c>
      <c r="AL5" s="321"/>
      <c r="AM5" s="321"/>
      <c r="AN5" s="321"/>
      <c r="AO5" s="321"/>
      <c r="AP5" s="321"/>
      <c r="AQ5" s="322"/>
      <c r="AR5" s="323" t="s">
        <v>178</v>
      </c>
      <c r="AS5" s="321"/>
      <c r="AT5" s="321"/>
      <c r="AU5" s="321"/>
      <c r="AV5" s="321"/>
      <c r="AW5" s="321"/>
      <c r="AX5" s="321"/>
      <c r="AY5" s="321"/>
      <c r="AZ5" s="324"/>
      <c r="BA5" s="320" t="s">
        <v>179</v>
      </c>
      <c r="BB5" s="321"/>
      <c r="BC5" s="321"/>
      <c r="BD5" s="322"/>
      <c r="BE5" s="93"/>
    </row>
    <row r="6" spans="1:57" s="71" customFormat="1" ht="13.5" customHeight="1">
      <c r="A6" s="70"/>
      <c r="B6" s="341"/>
      <c r="C6" s="341"/>
      <c r="D6" s="341"/>
      <c r="E6" s="325" t="s">
        <v>180</v>
      </c>
      <c r="F6" s="326"/>
      <c r="G6" s="326"/>
      <c r="H6" s="326"/>
      <c r="I6" s="326" t="s">
        <v>181</v>
      </c>
      <c r="J6" s="326"/>
      <c r="K6" s="326" t="s">
        <v>182</v>
      </c>
      <c r="L6" s="326"/>
      <c r="M6" s="326"/>
      <c r="N6" s="326"/>
      <c r="O6" s="326" t="s">
        <v>183</v>
      </c>
      <c r="P6" s="329"/>
      <c r="Q6" s="325" t="s">
        <v>184</v>
      </c>
      <c r="R6" s="326"/>
      <c r="S6" s="326"/>
      <c r="T6" s="122" t="s">
        <v>185</v>
      </c>
      <c r="U6" s="328" t="s">
        <v>184</v>
      </c>
      <c r="V6" s="326"/>
      <c r="W6" s="326" t="s">
        <v>186</v>
      </c>
      <c r="X6" s="326"/>
      <c r="Y6" s="344" t="s">
        <v>187</v>
      </c>
      <c r="Z6" s="345"/>
      <c r="AA6" s="123" t="s">
        <v>188</v>
      </c>
      <c r="AB6" s="325" t="s">
        <v>189</v>
      </c>
      <c r="AC6" s="329" t="s">
        <v>190</v>
      </c>
      <c r="AD6" s="337"/>
      <c r="AE6" s="338"/>
      <c r="AF6" s="334"/>
      <c r="AG6" s="335"/>
      <c r="AH6" s="336"/>
      <c r="AI6" s="328"/>
      <c r="AJ6" s="329"/>
      <c r="AK6" s="325" t="s">
        <v>191</v>
      </c>
      <c r="AL6" s="326"/>
      <c r="AM6" s="326"/>
      <c r="AN6" s="326" t="s">
        <v>192</v>
      </c>
      <c r="AO6" s="326"/>
      <c r="AP6" s="326"/>
      <c r="AQ6" s="327"/>
      <c r="AR6" s="328" t="s">
        <v>193</v>
      </c>
      <c r="AS6" s="326"/>
      <c r="AT6" s="326" t="s">
        <v>194</v>
      </c>
      <c r="AU6" s="326"/>
      <c r="AV6" s="326" t="s">
        <v>195</v>
      </c>
      <c r="AW6" s="326"/>
      <c r="AX6" s="326" t="s">
        <v>196</v>
      </c>
      <c r="AY6" s="326"/>
      <c r="AZ6" s="329" t="s">
        <v>280</v>
      </c>
      <c r="BA6" s="325"/>
      <c r="BB6" s="326"/>
      <c r="BC6" s="326"/>
      <c r="BD6" s="327"/>
      <c r="BE6" s="93"/>
    </row>
    <row r="7" spans="1:57" ht="24.75" thickBot="1">
      <c r="A7" s="63"/>
      <c r="B7" s="342"/>
      <c r="C7" s="342"/>
      <c r="D7" s="342"/>
      <c r="E7" s="124" t="s">
        <v>197</v>
      </c>
      <c r="F7" s="125" t="s">
        <v>198</v>
      </c>
      <c r="G7" s="125" t="s">
        <v>155</v>
      </c>
      <c r="H7" s="125" t="s">
        <v>112</v>
      </c>
      <c r="I7" s="125" t="s">
        <v>199</v>
      </c>
      <c r="J7" s="125" t="s">
        <v>200</v>
      </c>
      <c r="K7" s="125" t="s">
        <v>201</v>
      </c>
      <c r="L7" s="125" t="s">
        <v>204</v>
      </c>
      <c r="M7" s="125" t="s">
        <v>202</v>
      </c>
      <c r="N7" s="125" t="s">
        <v>203</v>
      </c>
      <c r="O7" s="125" t="s">
        <v>205</v>
      </c>
      <c r="P7" s="126" t="s">
        <v>206</v>
      </c>
      <c r="Q7" s="124" t="s">
        <v>207</v>
      </c>
      <c r="R7" s="125" t="s">
        <v>208</v>
      </c>
      <c r="S7" s="125" t="s">
        <v>209</v>
      </c>
      <c r="T7" s="127" t="s">
        <v>210</v>
      </c>
      <c r="U7" s="128" t="s">
        <v>201</v>
      </c>
      <c r="V7" s="125" t="s">
        <v>211</v>
      </c>
      <c r="W7" s="125" t="s">
        <v>201</v>
      </c>
      <c r="X7" s="125" t="s">
        <v>211</v>
      </c>
      <c r="Y7" s="125" t="s">
        <v>201</v>
      </c>
      <c r="Z7" s="125" t="s">
        <v>211</v>
      </c>
      <c r="AA7" s="126" t="s">
        <v>212</v>
      </c>
      <c r="AB7" s="339"/>
      <c r="AC7" s="128" t="s">
        <v>259</v>
      </c>
      <c r="AD7" s="125" t="s">
        <v>213</v>
      </c>
      <c r="AE7" s="127" t="s">
        <v>214</v>
      </c>
      <c r="AF7" s="124" t="s">
        <v>233</v>
      </c>
      <c r="AG7" s="125" t="s">
        <v>234</v>
      </c>
      <c r="AH7" s="127" t="s">
        <v>232</v>
      </c>
      <c r="AI7" s="128" t="s">
        <v>215</v>
      </c>
      <c r="AJ7" s="126" t="s">
        <v>216</v>
      </c>
      <c r="AK7" s="124" t="s">
        <v>191</v>
      </c>
      <c r="AL7" s="125" t="s">
        <v>164</v>
      </c>
      <c r="AM7" s="125" t="s">
        <v>165</v>
      </c>
      <c r="AN7" s="125" t="s">
        <v>166</v>
      </c>
      <c r="AO7" s="125" t="s">
        <v>217</v>
      </c>
      <c r="AP7" s="125" t="s">
        <v>218</v>
      </c>
      <c r="AQ7" s="127" t="s">
        <v>219</v>
      </c>
      <c r="AR7" s="128" t="s">
        <v>220</v>
      </c>
      <c r="AS7" s="125" t="s">
        <v>221</v>
      </c>
      <c r="AT7" s="125" t="s">
        <v>222</v>
      </c>
      <c r="AU7" s="125" t="s">
        <v>223</v>
      </c>
      <c r="AV7" s="125" t="s">
        <v>224</v>
      </c>
      <c r="AW7" s="125" t="s">
        <v>225</v>
      </c>
      <c r="AX7" s="125" t="s">
        <v>226</v>
      </c>
      <c r="AY7" s="125" t="s">
        <v>227</v>
      </c>
      <c r="AZ7" s="330"/>
      <c r="BA7" s="124" t="s">
        <v>191</v>
      </c>
      <c r="BB7" s="125" t="s">
        <v>218</v>
      </c>
      <c r="BC7" s="125" t="s">
        <v>282</v>
      </c>
      <c r="BD7" s="127" t="s">
        <v>174</v>
      </c>
      <c r="BE7" s="91"/>
    </row>
    <row r="8" spans="1:57" s="88" customFormat="1" ht="15" customHeight="1" thickTop="1">
      <c r="A8" s="57"/>
      <c r="B8" s="168" t="s">
        <v>118</v>
      </c>
      <c r="C8" s="168" t="s">
        <v>155</v>
      </c>
      <c r="D8" s="169" t="s">
        <v>156</v>
      </c>
      <c r="E8" s="131" t="s">
        <v>115</v>
      </c>
      <c r="F8" s="132"/>
      <c r="G8" s="132"/>
      <c r="H8" s="132"/>
      <c r="I8" s="132" t="s">
        <v>115</v>
      </c>
      <c r="J8" s="132"/>
      <c r="K8" s="132" t="s">
        <v>115</v>
      </c>
      <c r="L8" s="132"/>
      <c r="M8" s="132" t="s">
        <v>115</v>
      </c>
      <c r="N8" s="132"/>
      <c r="O8" s="132" t="s">
        <v>115</v>
      </c>
      <c r="P8" s="133" t="s">
        <v>115</v>
      </c>
      <c r="Q8" s="170"/>
      <c r="R8" s="171"/>
      <c r="S8" s="132" t="s">
        <v>115</v>
      </c>
      <c r="T8" s="172"/>
      <c r="U8" s="173" t="s">
        <v>137</v>
      </c>
      <c r="V8" s="165" t="s">
        <v>137</v>
      </c>
      <c r="W8" s="171" t="s">
        <v>137</v>
      </c>
      <c r="X8" s="171" t="s">
        <v>137</v>
      </c>
      <c r="Y8" s="171" t="s">
        <v>137</v>
      </c>
      <c r="Z8" s="171" t="s">
        <v>137</v>
      </c>
      <c r="AA8" s="174" t="s">
        <v>137</v>
      </c>
      <c r="AB8" s="131"/>
      <c r="AC8" s="132" t="s">
        <v>115</v>
      </c>
      <c r="AD8" s="132"/>
      <c r="AE8" s="135" t="s">
        <v>137</v>
      </c>
      <c r="AF8" s="131"/>
      <c r="AG8" s="132" t="s">
        <v>115</v>
      </c>
      <c r="AH8" s="135"/>
      <c r="AI8" s="173" t="s">
        <v>137</v>
      </c>
      <c r="AJ8" s="174" t="s">
        <v>137</v>
      </c>
      <c r="AK8" s="170"/>
      <c r="AL8" s="173"/>
      <c r="AM8" s="173"/>
      <c r="AN8" s="173"/>
      <c r="AO8" s="171"/>
      <c r="AP8" s="171" t="s">
        <v>115</v>
      </c>
      <c r="AQ8" s="172" t="s">
        <v>115</v>
      </c>
      <c r="AR8" s="173" t="s">
        <v>115</v>
      </c>
      <c r="AS8" s="172"/>
      <c r="AT8" s="170"/>
      <c r="AU8" s="171"/>
      <c r="AV8" s="132"/>
      <c r="AW8" s="171"/>
      <c r="AX8" s="132" t="s">
        <v>115</v>
      </c>
      <c r="AY8" s="174"/>
      <c r="AZ8" s="174" t="s">
        <v>115</v>
      </c>
      <c r="BA8" s="170" t="s">
        <v>281</v>
      </c>
      <c r="BB8" s="171"/>
      <c r="BC8" s="171"/>
      <c r="BD8" s="172" t="s">
        <v>137</v>
      </c>
    </row>
    <row r="9" spans="1:57" s="88" customFormat="1" ht="15" customHeight="1">
      <c r="A9" s="57"/>
      <c r="B9" s="129" t="s">
        <v>119</v>
      </c>
      <c r="C9" s="129" t="s">
        <v>155</v>
      </c>
      <c r="D9" s="130" t="s">
        <v>156</v>
      </c>
      <c r="E9" s="131"/>
      <c r="F9" s="132" t="s">
        <v>115</v>
      </c>
      <c r="G9" s="132" t="s">
        <v>115</v>
      </c>
      <c r="H9" s="132"/>
      <c r="I9" s="132" t="s">
        <v>115</v>
      </c>
      <c r="J9" s="132" t="s">
        <v>115</v>
      </c>
      <c r="K9" s="132" t="s">
        <v>115</v>
      </c>
      <c r="L9" s="132"/>
      <c r="M9" s="132"/>
      <c r="N9" s="132"/>
      <c r="O9" s="132"/>
      <c r="P9" s="133" t="s">
        <v>115</v>
      </c>
      <c r="Q9" s="131"/>
      <c r="R9" s="132"/>
      <c r="S9" s="132"/>
      <c r="T9" s="135"/>
      <c r="U9" s="141" t="s">
        <v>137</v>
      </c>
      <c r="V9" s="145" t="s">
        <v>137</v>
      </c>
      <c r="W9" s="171" t="s">
        <v>137</v>
      </c>
      <c r="X9" s="171" t="s">
        <v>137</v>
      </c>
      <c r="Y9" s="132" t="s">
        <v>137</v>
      </c>
      <c r="Z9" s="132" t="s">
        <v>137</v>
      </c>
      <c r="AA9" s="133" t="s">
        <v>137</v>
      </c>
      <c r="AB9" s="131" t="s">
        <v>115</v>
      </c>
      <c r="AC9" s="141"/>
      <c r="AD9" s="132"/>
      <c r="AE9" s="172" t="s">
        <v>137</v>
      </c>
      <c r="AF9" s="131" t="s">
        <v>115</v>
      </c>
      <c r="AG9" s="132"/>
      <c r="AH9" s="135"/>
      <c r="AI9" s="141" t="s">
        <v>137</v>
      </c>
      <c r="AJ9" s="133" t="s">
        <v>137</v>
      </c>
      <c r="AK9" s="131"/>
      <c r="AL9" s="141"/>
      <c r="AM9" s="141" t="s">
        <v>115</v>
      </c>
      <c r="AN9" s="141"/>
      <c r="AO9" s="132"/>
      <c r="AP9" s="132"/>
      <c r="AQ9" s="135"/>
      <c r="AR9" s="141"/>
      <c r="AS9" s="135" t="s">
        <v>115</v>
      </c>
      <c r="AT9" s="131"/>
      <c r="AU9" s="132"/>
      <c r="AV9" s="132"/>
      <c r="AW9" s="132" t="s">
        <v>115</v>
      </c>
      <c r="AX9" s="132"/>
      <c r="AY9" s="133"/>
      <c r="AZ9" s="133"/>
      <c r="BA9" s="131"/>
      <c r="BB9" s="132"/>
      <c r="BC9" s="132" t="s">
        <v>281</v>
      </c>
      <c r="BD9" s="172" t="s">
        <v>137</v>
      </c>
    </row>
    <row r="10" spans="1:57" s="88" customFormat="1" ht="15" customHeight="1">
      <c r="A10" s="57"/>
      <c r="B10" s="168" t="s">
        <v>120</v>
      </c>
      <c r="C10" s="168" t="s">
        <v>155</v>
      </c>
      <c r="D10" s="169" t="s">
        <v>156</v>
      </c>
      <c r="E10" s="170"/>
      <c r="F10" s="171"/>
      <c r="G10" s="171" t="s">
        <v>115</v>
      </c>
      <c r="H10" s="171"/>
      <c r="I10" s="171"/>
      <c r="J10" s="171" t="s">
        <v>115</v>
      </c>
      <c r="K10" s="171" t="s">
        <v>115</v>
      </c>
      <c r="L10" s="171"/>
      <c r="M10" s="171"/>
      <c r="N10" s="171"/>
      <c r="O10" s="171" t="s">
        <v>115</v>
      </c>
      <c r="P10" s="174"/>
      <c r="Q10" s="170" t="s">
        <v>115</v>
      </c>
      <c r="R10" s="171"/>
      <c r="S10" s="171"/>
      <c r="T10" s="172"/>
      <c r="U10" s="173" t="s">
        <v>137</v>
      </c>
      <c r="V10" s="165" t="s">
        <v>137</v>
      </c>
      <c r="W10" s="171" t="s">
        <v>137</v>
      </c>
      <c r="X10" s="171" t="s">
        <v>137</v>
      </c>
      <c r="Y10" s="171" t="s">
        <v>137</v>
      </c>
      <c r="Z10" s="171" t="s">
        <v>137</v>
      </c>
      <c r="AA10" s="174" t="s">
        <v>137</v>
      </c>
      <c r="AB10" s="170" t="s">
        <v>115</v>
      </c>
      <c r="AC10" s="173"/>
      <c r="AD10" s="171"/>
      <c r="AE10" s="172" t="s">
        <v>137</v>
      </c>
      <c r="AF10" s="170" t="s">
        <v>115</v>
      </c>
      <c r="AG10" s="171"/>
      <c r="AH10" s="172"/>
      <c r="AI10" s="173" t="s">
        <v>137</v>
      </c>
      <c r="AJ10" s="174" t="s">
        <v>137</v>
      </c>
      <c r="AK10" s="170" t="s">
        <v>115</v>
      </c>
      <c r="AL10" s="173"/>
      <c r="AM10" s="173"/>
      <c r="AN10" s="173"/>
      <c r="AO10" s="171"/>
      <c r="AP10" s="171"/>
      <c r="AQ10" s="172"/>
      <c r="AR10" s="173" t="s">
        <v>115</v>
      </c>
      <c r="AS10" s="172"/>
      <c r="AT10" s="170" t="s">
        <v>115</v>
      </c>
      <c r="AU10" s="171"/>
      <c r="AV10" s="171"/>
      <c r="AW10" s="171"/>
      <c r="AX10" s="171"/>
      <c r="AY10" s="174"/>
      <c r="AZ10" s="174"/>
      <c r="BA10" s="170" t="s">
        <v>137</v>
      </c>
      <c r="BB10" s="171" t="s">
        <v>137</v>
      </c>
      <c r="BC10" s="171" t="s">
        <v>137</v>
      </c>
      <c r="BD10" s="172" t="s">
        <v>137</v>
      </c>
    </row>
    <row r="11" spans="1:57" s="88" customFormat="1" ht="15" customHeight="1">
      <c r="A11" s="57"/>
      <c r="B11" s="175" t="s">
        <v>121</v>
      </c>
      <c r="C11" s="175" t="s">
        <v>155</v>
      </c>
      <c r="D11" s="176" t="s">
        <v>136</v>
      </c>
      <c r="E11" s="177" t="s">
        <v>115</v>
      </c>
      <c r="F11" s="178"/>
      <c r="G11" s="178"/>
      <c r="H11" s="178"/>
      <c r="I11" s="178" t="s">
        <v>115</v>
      </c>
      <c r="J11" s="178"/>
      <c r="K11" s="178" t="s">
        <v>115</v>
      </c>
      <c r="L11" s="178"/>
      <c r="M11" s="178"/>
      <c r="N11" s="178" t="s">
        <v>115</v>
      </c>
      <c r="O11" s="178" t="s">
        <v>115</v>
      </c>
      <c r="P11" s="179" t="s">
        <v>115</v>
      </c>
      <c r="Q11" s="177"/>
      <c r="R11" s="178"/>
      <c r="S11" s="178" t="s">
        <v>115</v>
      </c>
      <c r="T11" s="180"/>
      <c r="U11" s="181"/>
      <c r="V11" s="293" t="s">
        <v>115</v>
      </c>
      <c r="W11" s="181" t="s">
        <v>115</v>
      </c>
      <c r="X11" s="181"/>
      <c r="Y11" s="178"/>
      <c r="Z11" s="178"/>
      <c r="AA11" s="179" t="s">
        <v>137</v>
      </c>
      <c r="AB11" s="131" t="s">
        <v>137</v>
      </c>
      <c r="AC11" s="179" t="s">
        <v>137</v>
      </c>
      <c r="AD11" s="179" t="s">
        <v>137</v>
      </c>
      <c r="AE11" s="172" t="s">
        <v>137</v>
      </c>
      <c r="AF11" s="177"/>
      <c r="AG11" s="178"/>
      <c r="AH11" s="180" t="s">
        <v>115</v>
      </c>
      <c r="AI11" s="181" t="s">
        <v>115</v>
      </c>
      <c r="AJ11" s="179" t="s">
        <v>137</v>
      </c>
      <c r="AK11" s="177"/>
      <c r="AL11" s="181"/>
      <c r="AM11" s="181"/>
      <c r="AN11" s="181"/>
      <c r="AO11" s="178"/>
      <c r="AP11" s="178" t="s">
        <v>528</v>
      </c>
      <c r="AQ11" s="180" t="s">
        <v>528</v>
      </c>
      <c r="AR11" s="181" t="s">
        <v>115</v>
      </c>
      <c r="AS11" s="180"/>
      <c r="AT11" s="177"/>
      <c r="AU11" s="178"/>
      <c r="AV11" s="178" t="s">
        <v>281</v>
      </c>
      <c r="AW11" s="178"/>
      <c r="AX11" s="178"/>
      <c r="AY11" s="179"/>
      <c r="AZ11" s="179"/>
      <c r="BA11" s="177"/>
      <c r="BB11" s="178"/>
      <c r="BC11" s="178" t="s">
        <v>281</v>
      </c>
      <c r="BD11" s="180"/>
    </row>
    <row r="12" spans="1:57" s="90" customFormat="1" ht="15" customHeight="1">
      <c r="A12" s="59"/>
      <c r="B12" s="175" t="s">
        <v>122</v>
      </c>
      <c r="C12" s="175" t="s">
        <v>155</v>
      </c>
      <c r="D12" s="176" t="s">
        <v>136</v>
      </c>
      <c r="E12" s="177"/>
      <c r="F12" s="178" t="s">
        <v>115</v>
      </c>
      <c r="G12" s="178" t="s">
        <v>115</v>
      </c>
      <c r="H12" s="178"/>
      <c r="I12" s="178" t="s">
        <v>115</v>
      </c>
      <c r="J12" s="178" t="s">
        <v>115</v>
      </c>
      <c r="K12" s="178" t="s">
        <v>115</v>
      </c>
      <c r="L12" s="178"/>
      <c r="M12" s="178"/>
      <c r="N12" s="178" t="s">
        <v>115</v>
      </c>
      <c r="O12" s="178" t="s">
        <v>115</v>
      </c>
      <c r="P12" s="179"/>
      <c r="Q12" s="177"/>
      <c r="R12" s="178"/>
      <c r="S12" s="178"/>
      <c r="T12" s="180" t="s">
        <v>115</v>
      </c>
      <c r="U12" s="181"/>
      <c r="V12" s="181"/>
      <c r="W12" s="181"/>
      <c r="X12" s="181"/>
      <c r="Y12" s="178" t="s">
        <v>115</v>
      </c>
      <c r="Z12" s="178"/>
      <c r="AA12" s="179" t="s">
        <v>137</v>
      </c>
      <c r="AB12" s="177" t="s">
        <v>281</v>
      </c>
      <c r="AC12" s="178"/>
      <c r="AD12" s="178"/>
      <c r="AE12" s="180"/>
      <c r="AF12" s="177" t="s">
        <v>281</v>
      </c>
      <c r="AG12" s="178"/>
      <c r="AH12" s="180"/>
      <c r="AI12" s="181"/>
      <c r="AJ12" s="179" t="s">
        <v>137</v>
      </c>
      <c r="AK12" s="177"/>
      <c r="AL12" s="181"/>
      <c r="AM12" s="181"/>
      <c r="AN12" s="181" t="s">
        <v>115</v>
      </c>
      <c r="AO12" s="178"/>
      <c r="AP12" s="178"/>
      <c r="AQ12" s="180"/>
      <c r="AR12" s="181" t="s">
        <v>115</v>
      </c>
      <c r="AS12" s="180"/>
      <c r="AT12" s="177"/>
      <c r="AU12" s="178" t="s">
        <v>115</v>
      </c>
      <c r="AV12" s="178"/>
      <c r="AW12" s="178"/>
      <c r="AX12" s="178"/>
      <c r="AY12" s="179" t="s">
        <v>115</v>
      </c>
      <c r="AZ12" s="179" t="s">
        <v>115</v>
      </c>
      <c r="BA12" s="177"/>
      <c r="BB12" s="178" t="s">
        <v>115</v>
      </c>
      <c r="BC12" s="178"/>
      <c r="BD12" s="180"/>
    </row>
    <row r="13" spans="1:57" s="89" customFormat="1" ht="15" customHeight="1">
      <c r="A13" s="58"/>
      <c r="B13" s="175" t="s">
        <v>123</v>
      </c>
      <c r="C13" s="175" t="s">
        <v>155</v>
      </c>
      <c r="D13" s="176" t="s">
        <v>136</v>
      </c>
      <c r="E13" s="177"/>
      <c r="F13" s="178"/>
      <c r="G13" s="178" t="s">
        <v>115</v>
      </c>
      <c r="H13" s="178"/>
      <c r="I13" s="178"/>
      <c r="J13" s="178" t="s">
        <v>115</v>
      </c>
      <c r="K13" s="178" t="s">
        <v>115</v>
      </c>
      <c r="L13" s="178"/>
      <c r="M13" s="178" t="s">
        <v>115</v>
      </c>
      <c r="N13" s="178"/>
      <c r="O13" s="178" t="s">
        <v>115</v>
      </c>
      <c r="P13" s="179" t="s">
        <v>115</v>
      </c>
      <c r="Q13" s="177"/>
      <c r="R13" s="178" t="s">
        <v>115</v>
      </c>
      <c r="S13" s="178"/>
      <c r="T13" s="180"/>
      <c r="U13" s="181" t="s">
        <v>115</v>
      </c>
      <c r="V13" s="181"/>
      <c r="W13" s="181"/>
      <c r="X13" s="181"/>
      <c r="Y13" s="178"/>
      <c r="Z13" s="178"/>
      <c r="AA13" s="179" t="s">
        <v>137</v>
      </c>
      <c r="AB13" s="177"/>
      <c r="AC13" s="181" t="s">
        <v>281</v>
      </c>
      <c r="AD13" s="178"/>
      <c r="AE13" s="180"/>
      <c r="AF13" s="177" t="s">
        <v>115</v>
      </c>
      <c r="AG13" s="178"/>
      <c r="AH13" s="180"/>
      <c r="AI13" s="181" t="s">
        <v>115</v>
      </c>
      <c r="AJ13" s="179" t="s">
        <v>137</v>
      </c>
      <c r="AK13" s="177" t="s">
        <v>115</v>
      </c>
      <c r="AL13" s="181"/>
      <c r="AM13" s="181"/>
      <c r="AN13" s="181"/>
      <c r="AO13" s="178"/>
      <c r="AP13" s="178"/>
      <c r="AQ13" s="180"/>
      <c r="AR13" s="181"/>
      <c r="AS13" s="180" t="s">
        <v>115</v>
      </c>
      <c r="AT13" s="177" t="s">
        <v>115</v>
      </c>
      <c r="AU13" s="178"/>
      <c r="AV13" s="178"/>
      <c r="AW13" s="178"/>
      <c r="AX13" s="178"/>
      <c r="AY13" s="179"/>
      <c r="AZ13" s="179"/>
      <c r="BA13" s="177" t="s">
        <v>137</v>
      </c>
      <c r="BB13" s="178" t="s">
        <v>137</v>
      </c>
      <c r="BC13" s="178" t="s">
        <v>137</v>
      </c>
      <c r="BD13" s="180" t="s">
        <v>137</v>
      </c>
    </row>
    <row r="14" spans="1:57" s="89" customFormat="1" ht="15" customHeight="1">
      <c r="A14" s="58"/>
      <c r="B14" s="129" t="s">
        <v>124</v>
      </c>
      <c r="C14" s="129" t="s">
        <v>155</v>
      </c>
      <c r="D14" s="130" t="s">
        <v>157</v>
      </c>
      <c r="E14" s="131" t="s">
        <v>115</v>
      </c>
      <c r="F14" s="132" t="s">
        <v>115</v>
      </c>
      <c r="G14" s="132"/>
      <c r="H14" s="132"/>
      <c r="I14" s="132" t="s">
        <v>115</v>
      </c>
      <c r="J14" s="132"/>
      <c r="K14" s="132" t="s">
        <v>115</v>
      </c>
      <c r="L14" s="132"/>
      <c r="M14" s="132" t="s">
        <v>115</v>
      </c>
      <c r="N14" s="132"/>
      <c r="O14" s="132" t="s">
        <v>115</v>
      </c>
      <c r="P14" s="133" t="s">
        <v>115</v>
      </c>
      <c r="Q14" s="131"/>
      <c r="R14" s="132"/>
      <c r="S14" s="134" t="s">
        <v>115</v>
      </c>
      <c r="T14" s="135"/>
      <c r="U14" s="136" t="s">
        <v>137</v>
      </c>
      <c r="V14" s="136" t="s">
        <v>137</v>
      </c>
      <c r="W14" s="171" t="s">
        <v>137</v>
      </c>
      <c r="X14" s="171" t="s">
        <v>137</v>
      </c>
      <c r="Y14" s="137" t="s">
        <v>137</v>
      </c>
      <c r="Z14" s="137" t="s">
        <v>137</v>
      </c>
      <c r="AA14" s="138" t="s">
        <v>137</v>
      </c>
      <c r="AB14" s="131"/>
      <c r="AC14" s="134" t="s">
        <v>115</v>
      </c>
      <c r="AD14" s="132"/>
      <c r="AE14" s="135" t="s">
        <v>137</v>
      </c>
      <c r="AF14" s="139"/>
      <c r="AG14" s="137" t="s">
        <v>281</v>
      </c>
      <c r="AH14" s="140"/>
      <c r="AI14" s="136" t="s">
        <v>115</v>
      </c>
      <c r="AJ14" s="133" t="s">
        <v>137</v>
      </c>
      <c r="AK14" s="131"/>
      <c r="AL14" s="141"/>
      <c r="AM14" s="141"/>
      <c r="AN14" s="141"/>
      <c r="AO14" s="132"/>
      <c r="AP14" s="132"/>
      <c r="AQ14" s="135"/>
      <c r="AR14" s="141" t="s">
        <v>115</v>
      </c>
      <c r="AS14" s="135"/>
      <c r="AT14" s="131"/>
      <c r="AU14" s="132"/>
      <c r="AV14" s="132"/>
      <c r="AW14" s="132"/>
      <c r="AX14" s="132" t="s">
        <v>115</v>
      </c>
      <c r="AY14" s="133"/>
      <c r="AZ14" s="133"/>
      <c r="BA14" s="131" t="s">
        <v>115</v>
      </c>
      <c r="BB14" s="132"/>
      <c r="BC14" s="132"/>
      <c r="BD14" s="172" t="s">
        <v>137</v>
      </c>
    </row>
    <row r="15" spans="1:57" s="90" customFormat="1" ht="15" customHeight="1">
      <c r="A15" s="59"/>
      <c r="B15" s="129" t="s">
        <v>125</v>
      </c>
      <c r="C15" s="129" t="s">
        <v>155</v>
      </c>
      <c r="D15" s="130" t="s">
        <v>157</v>
      </c>
      <c r="E15" s="131" t="s">
        <v>115</v>
      </c>
      <c r="F15" s="132"/>
      <c r="G15" s="132" t="s">
        <v>115</v>
      </c>
      <c r="H15" s="132"/>
      <c r="I15" s="132" t="s">
        <v>115</v>
      </c>
      <c r="J15" s="132" t="s">
        <v>115</v>
      </c>
      <c r="K15" s="132" t="s">
        <v>115</v>
      </c>
      <c r="L15" s="132"/>
      <c r="M15" s="132"/>
      <c r="N15" s="132" t="s">
        <v>115</v>
      </c>
      <c r="O15" s="132" t="s">
        <v>115</v>
      </c>
      <c r="P15" s="133" t="s">
        <v>115</v>
      </c>
      <c r="Q15" s="142"/>
      <c r="R15" s="134" t="s">
        <v>115</v>
      </c>
      <c r="S15" s="134"/>
      <c r="T15" s="143"/>
      <c r="U15" s="136" t="s">
        <v>137</v>
      </c>
      <c r="V15" s="136" t="s">
        <v>137</v>
      </c>
      <c r="W15" s="171" t="s">
        <v>137</v>
      </c>
      <c r="X15" s="171" t="s">
        <v>137</v>
      </c>
      <c r="Y15" s="134" t="s">
        <v>137</v>
      </c>
      <c r="Z15" s="134" t="s">
        <v>137</v>
      </c>
      <c r="AA15" s="144" t="s">
        <v>137</v>
      </c>
      <c r="AB15" s="142" t="s">
        <v>528</v>
      </c>
      <c r="AC15" s="136"/>
      <c r="AD15" s="134" t="s">
        <v>528</v>
      </c>
      <c r="AE15" s="172" t="s">
        <v>137</v>
      </c>
      <c r="AF15" s="142" t="s">
        <v>281</v>
      </c>
      <c r="AG15" s="134"/>
      <c r="AH15" s="143"/>
      <c r="AI15" s="136"/>
      <c r="AJ15" s="166" t="s">
        <v>137</v>
      </c>
      <c r="AK15" s="142"/>
      <c r="AL15" s="136"/>
      <c r="AM15" s="136"/>
      <c r="AN15" s="136"/>
      <c r="AO15" s="132"/>
      <c r="AP15" s="132" t="s">
        <v>115</v>
      </c>
      <c r="AQ15" s="143" t="s">
        <v>115</v>
      </c>
      <c r="AR15" s="136" t="s">
        <v>115</v>
      </c>
      <c r="AS15" s="143"/>
      <c r="AT15" s="142"/>
      <c r="AU15" s="132" t="s">
        <v>115</v>
      </c>
      <c r="AV15" s="134"/>
      <c r="AW15" s="132"/>
      <c r="AX15" s="134"/>
      <c r="AY15" s="133" t="s">
        <v>115</v>
      </c>
      <c r="AZ15" s="133" t="s">
        <v>115</v>
      </c>
      <c r="BA15" s="142"/>
      <c r="BB15" s="134" t="s">
        <v>115</v>
      </c>
      <c r="BC15" s="134"/>
      <c r="BD15" s="172" t="s">
        <v>137</v>
      </c>
    </row>
    <row r="16" spans="1:57" s="90" customFormat="1" ht="15" customHeight="1">
      <c r="A16" s="59"/>
      <c r="B16" s="129" t="s">
        <v>126</v>
      </c>
      <c r="C16" s="129" t="s">
        <v>155</v>
      </c>
      <c r="D16" s="130" t="s">
        <v>157</v>
      </c>
      <c r="E16" s="131"/>
      <c r="F16" s="132"/>
      <c r="G16" s="132" t="s">
        <v>115</v>
      </c>
      <c r="H16" s="132"/>
      <c r="I16" s="132"/>
      <c r="J16" s="132" t="s">
        <v>115</v>
      </c>
      <c r="K16" s="132" t="s">
        <v>115</v>
      </c>
      <c r="L16" s="132"/>
      <c r="M16" s="132"/>
      <c r="N16" s="132"/>
      <c r="O16" s="132" t="s">
        <v>115</v>
      </c>
      <c r="P16" s="133"/>
      <c r="Q16" s="131"/>
      <c r="R16" s="132"/>
      <c r="S16" s="132"/>
      <c r="T16" s="135"/>
      <c r="U16" s="145" t="s">
        <v>137</v>
      </c>
      <c r="V16" s="145" t="s">
        <v>137</v>
      </c>
      <c r="W16" s="171" t="s">
        <v>137</v>
      </c>
      <c r="X16" s="171" t="s">
        <v>137</v>
      </c>
      <c r="Y16" s="137" t="s">
        <v>137</v>
      </c>
      <c r="Z16" s="137" t="s">
        <v>137</v>
      </c>
      <c r="AA16" s="138" t="s">
        <v>137</v>
      </c>
      <c r="AB16" s="131"/>
      <c r="AC16" s="141"/>
      <c r="AD16" s="134" t="s">
        <v>115</v>
      </c>
      <c r="AE16" s="172" t="s">
        <v>137</v>
      </c>
      <c r="AF16" s="139" t="s">
        <v>115</v>
      </c>
      <c r="AG16" s="137"/>
      <c r="AH16" s="140"/>
      <c r="AI16" s="141"/>
      <c r="AJ16" s="133" t="s">
        <v>137</v>
      </c>
      <c r="AK16" s="142" t="s">
        <v>115</v>
      </c>
      <c r="AL16" s="136"/>
      <c r="AM16" s="136"/>
      <c r="AN16" s="136"/>
      <c r="AO16" s="132"/>
      <c r="AP16" s="132"/>
      <c r="AQ16" s="135"/>
      <c r="AR16" s="141"/>
      <c r="AS16" s="135" t="s">
        <v>115</v>
      </c>
      <c r="AT16" s="131" t="s">
        <v>115</v>
      </c>
      <c r="AU16" s="132"/>
      <c r="AV16" s="132"/>
      <c r="AW16" s="132"/>
      <c r="AX16" s="132"/>
      <c r="AY16" s="133"/>
      <c r="AZ16" s="133"/>
      <c r="BA16" s="131" t="s">
        <v>137</v>
      </c>
      <c r="BB16" s="132" t="s">
        <v>137</v>
      </c>
      <c r="BC16" s="132" t="s">
        <v>137</v>
      </c>
      <c r="BD16" s="135" t="s">
        <v>137</v>
      </c>
    </row>
    <row r="17" spans="1:56" s="89" customFormat="1" ht="15" customHeight="1">
      <c r="A17" s="58"/>
      <c r="B17" s="182" t="s">
        <v>127</v>
      </c>
      <c r="C17" s="182" t="s">
        <v>155</v>
      </c>
      <c r="D17" s="183" t="s">
        <v>158</v>
      </c>
      <c r="E17" s="184" t="s">
        <v>115</v>
      </c>
      <c r="F17" s="185"/>
      <c r="G17" s="185"/>
      <c r="H17" s="185"/>
      <c r="I17" s="185" t="s">
        <v>115</v>
      </c>
      <c r="J17" s="185"/>
      <c r="K17" s="185" t="s">
        <v>115</v>
      </c>
      <c r="L17" s="185"/>
      <c r="M17" s="185"/>
      <c r="N17" s="185" t="s">
        <v>115</v>
      </c>
      <c r="O17" s="185" t="s">
        <v>528</v>
      </c>
      <c r="P17" s="186" t="s">
        <v>528</v>
      </c>
      <c r="Q17" s="184"/>
      <c r="R17" s="185"/>
      <c r="S17" s="185" t="s">
        <v>115</v>
      </c>
      <c r="T17" s="187"/>
      <c r="U17" s="188"/>
      <c r="V17" s="188"/>
      <c r="W17" s="188"/>
      <c r="X17" s="188"/>
      <c r="Y17" s="185"/>
      <c r="Z17" s="185"/>
      <c r="AA17" s="186" t="s">
        <v>115</v>
      </c>
      <c r="AB17" s="131"/>
      <c r="AC17" s="179"/>
      <c r="AD17" s="179" t="s">
        <v>115</v>
      </c>
      <c r="AE17" s="172"/>
      <c r="AF17" s="184"/>
      <c r="AG17" s="185" t="s">
        <v>115</v>
      </c>
      <c r="AH17" s="187"/>
      <c r="AI17" s="188" t="s">
        <v>115</v>
      </c>
      <c r="AJ17" s="186"/>
      <c r="AK17" s="184"/>
      <c r="AL17" s="185" t="s">
        <v>115</v>
      </c>
      <c r="AM17" s="188"/>
      <c r="AN17" s="188"/>
      <c r="AO17" s="185"/>
      <c r="AP17" s="185"/>
      <c r="AQ17" s="187"/>
      <c r="AR17" s="188" t="s">
        <v>528</v>
      </c>
      <c r="AS17" s="187" t="s">
        <v>528</v>
      </c>
      <c r="AT17" s="184"/>
      <c r="AU17" s="185"/>
      <c r="AV17" s="185" t="s">
        <v>115</v>
      </c>
      <c r="AW17" s="185"/>
      <c r="AX17" s="185" t="s">
        <v>115</v>
      </c>
      <c r="AY17" s="186"/>
      <c r="AZ17" s="186"/>
      <c r="BA17" s="184" t="s">
        <v>115</v>
      </c>
      <c r="BB17" s="185"/>
      <c r="BC17" s="185"/>
      <c r="BD17" s="187"/>
    </row>
    <row r="18" spans="1:56" s="90" customFormat="1" ht="15" customHeight="1">
      <c r="A18" s="59"/>
      <c r="B18" s="182" t="s">
        <v>128</v>
      </c>
      <c r="C18" s="182" t="s">
        <v>155</v>
      </c>
      <c r="D18" s="183" t="s">
        <v>158</v>
      </c>
      <c r="E18" s="184" t="s">
        <v>115</v>
      </c>
      <c r="F18" s="185" t="s">
        <v>115</v>
      </c>
      <c r="G18" s="185"/>
      <c r="H18" s="185"/>
      <c r="I18" s="185" t="s">
        <v>115</v>
      </c>
      <c r="J18" s="185"/>
      <c r="K18" s="185" t="s">
        <v>115</v>
      </c>
      <c r="L18" s="185"/>
      <c r="M18" s="185" t="s">
        <v>115</v>
      </c>
      <c r="N18" s="185"/>
      <c r="O18" s="185"/>
      <c r="P18" s="186" t="s">
        <v>115</v>
      </c>
      <c r="Q18" s="184"/>
      <c r="R18" s="185"/>
      <c r="S18" s="185"/>
      <c r="T18" s="187" t="s">
        <v>115</v>
      </c>
      <c r="U18" s="188"/>
      <c r="V18" s="188" t="s">
        <v>528</v>
      </c>
      <c r="W18" s="188"/>
      <c r="X18" s="188"/>
      <c r="Y18" s="185"/>
      <c r="Z18" s="185"/>
      <c r="AA18" s="186"/>
      <c r="AB18" s="184"/>
      <c r="AC18" s="185" t="s">
        <v>115</v>
      </c>
      <c r="AD18" s="185"/>
      <c r="AE18" s="187"/>
      <c r="AF18" s="184"/>
      <c r="AG18" s="185" t="s">
        <v>115</v>
      </c>
      <c r="AH18" s="187"/>
      <c r="AI18" s="188"/>
      <c r="AJ18" s="186" t="s">
        <v>115</v>
      </c>
      <c r="AK18" s="184"/>
      <c r="AL18" s="188"/>
      <c r="AM18" s="188"/>
      <c r="AN18" s="188"/>
      <c r="AO18" s="185" t="s">
        <v>115</v>
      </c>
      <c r="AP18" s="185"/>
      <c r="AQ18" s="187"/>
      <c r="AR18" s="188" t="s">
        <v>115</v>
      </c>
      <c r="AS18" s="187"/>
      <c r="AT18" s="184"/>
      <c r="AU18" s="185"/>
      <c r="AV18" s="185"/>
      <c r="AW18" s="185" t="s">
        <v>115</v>
      </c>
      <c r="AX18" s="185"/>
      <c r="AY18" s="185" t="s">
        <v>115</v>
      </c>
      <c r="AZ18" s="186"/>
      <c r="BA18" s="184"/>
      <c r="BB18" s="185" t="s">
        <v>115</v>
      </c>
      <c r="BC18" s="185" t="s">
        <v>115</v>
      </c>
      <c r="BD18" s="187"/>
    </row>
    <row r="19" spans="1:56" s="65" customFormat="1" ht="15" customHeight="1">
      <c r="A19" s="64"/>
      <c r="B19" s="182" t="s">
        <v>129</v>
      </c>
      <c r="C19" s="182" t="s">
        <v>155</v>
      </c>
      <c r="D19" s="183" t="s">
        <v>158</v>
      </c>
      <c r="E19" s="185" t="s">
        <v>115</v>
      </c>
      <c r="F19" s="185"/>
      <c r="G19" s="185" t="s">
        <v>115</v>
      </c>
      <c r="H19" s="185"/>
      <c r="I19" s="185" t="s">
        <v>115</v>
      </c>
      <c r="J19" s="185" t="s">
        <v>115</v>
      </c>
      <c r="K19" s="185" t="s">
        <v>115</v>
      </c>
      <c r="L19" s="185"/>
      <c r="M19" s="185"/>
      <c r="N19" s="185"/>
      <c r="O19" s="185"/>
      <c r="P19" s="186" t="s">
        <v>115</v>
      </c>
      <c r="Q19" s="184" t="s">
        <v>115</v>
      </c>
      <c r="R19" s="185"/>
      <c r="S19" s="185"/>
      <c r="T19" s="187"/>
      <c r="U19" s="188" t="s">
        <v>528</v>
      </c>
      <c r="V19" s="188"/>
      <c r="W19" s="188"/>
      <c r="X19" s="188"/>
      <c r="Y19" s="185"/>
      <c r="Z19" s="185"/>
      <c r="AA19" s="186"/>
      <c r="AB19" s="184"/>
      <c r="AC19" s="188"/>
      <c r="AD19" s="185"/>
      <c r="AE19" s="187" t="s">
        <v>115</v>
      </c>
      <c r="AF19" s="184" t="s">
        <v>281</v>
      </c>
      <c r="AG19" s="185"/>
      <c r="AH19" s="187"/>
      <c r="AI19" s="188" t="s">
        <v>115</v>
      </c>
      <c r="AJ19" s="186" t="s">
        <v>115</v>
      </c>
      <c r="AK19" s="184"/>
      <c r="AL19" s="188"/>
      <c r="AM19" s="188"/>
      <c r="AN19" s="188"/>
      <c r="AO19" s="185"/>
      <c r="AP19" s="185"/>
      <c r="AQ19" s="187"/>
      <c r="AR19" s="188" t="s">
        <v>115</v>
      </c>
      <c r="AS19" s="187"/>
      <c r="AT19" s="184"/>
      <c r="AU19" s="185"/>
      <c r="AV19" s="185" t="s">
        <v>115</v>
      </c>
      <c r="AW19" s="185"/>
      <c r="AX19" s="185"/>
      <c r="AY19" s="186"/>
      <c r="AZ19" s="186" t="s">
        <v>115</v>
      </c>
      <c r="BA19" s="184"/>
      <c r="BB19" s="185"/>
      <c r="BC19" s="185"/>
      <c r="BD19" s="187" t="s">
        <v>115</v>
      </c>
    </row>
    <row r="20" spans="1:56" s="88" customFormat="1" ht="15" customHeight="1">
      <c r="A20" s="57"/>
      <c r="B20" s="182" t="s">
        <v>130</v>
      </c>
      <c r="C20" s="182" t="s">
        <v>155</v>
      </c>
      <c r="D20" s="183" t="s">
        <v>158</v>
      </c>
      <c r="E20" s="185"/>
      <c r="F20" s="185"/>
      <c r="G20" s="185" t="s">
        <v>115</v>
      </c>
      <c r="H20" s="185"/>
      <c r="I20" s="185"/>
      <c r="J20" s="185" t="s">
        <v>115</v>
      </c>
      <c r="K20" s="185" t="s">
        <v>115</v>
      </c>
      <c r="L20" s="185"/>
      <c r="M20" s="185"/>
      <c r="N20" s="185"/>
      <c r="O20" s="185" t="s">
        <v>115</v>
      </c>
      <c r="P20" s="186"/>
      <c r="Q20" s="184"/>
      <c r="R20" s="185"/>
      <c r="S20" s="185"/>
      <c r="T20" s="187"/>
      <c r="U20" s="188"/>
      <c r="V20" s="188" t="s">
        <v>115</v>
      </c>
      <c r="W20" s="188"/>
      <c r="X20" s="188"/>
      <c r="Y20" s="185"/>
      <c r="Z20" s="185"/>
      <c r="AA20" s="186"/>
      <c r="AB20" s="184"/>
      <c r="AC20" s="188"/>
      <c r="AD20" s="185" t="s">
        <v>115</v>
      </c>
      <c r="AE20" s="187"/>
      <c r="AF20" s="184" t="s">
        <v>281</v>
      </c>
      <c r="AG20" s="185"/>
      <c r="AH20" s="187"/>
      <c r="AI20" s="188"/>
      <c r="AJ20" s="186"/>
      <c r="AK20" s="184"/>
      <c r="AL20" s="188"/>
      <c r="AM20" s="188" t="s">
        <v>115</v>
      </c>
      <c r="AN20" s="188"/>
      <c r="AO20" s="185"/>
      <c r="AP20" s="185"/>
      <c r="AQ20" s="187"/>
      <c r="AR20" s="188"/>
      <c r="AS20" s="187" t="s">
        <v>115</v>
      </c>
      <c r="AT20" s="184" t="s">
        <v>115</v>
      </c>
      <c r="AU20" s="185"/>
      <c r="AV20" s="185"/>
      <c r="AW20" s="185"/>
      <c r="AX20" s="185"/>
      <c r="AY20" s="186"/>
      <c r="AZ20" s="186"/>
      <c r="BA20" s="184" t="s">
        <v>137</v>
      </c>
      <c r="BB20" s="185" t="s">
        <v>137</v>
      </c>
      <c r="BC20" s="185" t="s">
        <v>137</v>
      </c>
      <c r="BD20" s="187" t="s">
        <v>137</v>
      </c>
    </row>
    <row r="21" spans="1:56" s="88" customFormat="1" ht="15" customHeight="1">
      <c r="A21" s="57"/>
      <c r="B21" s="129" t="s">
        <v>131</v>
      </c>
      <c r="C21" s="129" t="s">
        <v>112</v>
      </c>
      <c r="D21" s="130" t="s">
        <v>156</v>
      </c>
      <c r="E21" s="131"/>
      <c r="F21" s="132"/>
      <c r="G21" s="132"/>
      <c r="H21" s="132" t="s">
        <v>115</v>
      </c>
      <c r="I21" s="132" t="s">
        <v>115</v>
      </c>
      <c r="J21" s="132"/>
      <c r="K21" s="132" t="s">
        <v>115</v>
      </c>
      <c r="L21" s="132"/>
      <c r="M21" s="132"/>
      <c r="N21" s="132"/>
      <c r="O21" s="132" t="s">
        <v>115</v>
      </c>
      <c r="P21" s="133"/>
      <c r="Q21" s="131"/>
      <c r="R21" s="132"/>
      <c r="S21" s="132" t="s">
        <v>115</v>
      </c>
      <c r="T21" s="135"/>
      <c r="U21" s="145" t="s">
        <v>137</v>
      </c>
      <c r="V21" s="145" t="s">
        <v>137</v>
      </c>
      <c r="W21" s="171" t="s">
        <v>137</v>
      </c>
      <c r="X21" s="171" t="s">
        <v>137</v>
      </c>
      <c r="Y21" s="137" t="s">
        <v>137</v>
      </c>
      <c r="Z21" s="137" t="s">
        <v>137</v>
      </c>
      <c r="AA21" s="138" t="s">
        <v>137</v>
      </c>
      <c r="AB21" s="131" t="s">
        <v>115</v>
      </c>
      <c r="AC21" s="141"/>
      <c r="AD21" s="132"/>
      <c r="AE21" s="172" t="s">
        <v>137</v>
      </c>
      <c r="AF21" s="131" t="s">
        <v>115</v>
      </c>
      <c r="AG21" s="132"/>
      <c r="AH21" s="135"/>
      <c r="AI21" s="141" t="s">
        <v>137</v>
      </c>
      <c r="AJ21" s="133" t="s">
        <v>137</v>
      </c>
      <c r="AK21" s="131" t="s">
        <v>115</v>
      </c>
      <c r="AL21" s="141"/>
      <c r="AM21" s="141"/>
      <c r="AN21" s="141"/>
      <c r="AO21" s="132"/>
      <c r="AP21" s="132"/>
      <c r="AQ21" s="135"/>
      <c r="AR21" s="141" t="s">
        <v>115</v>
      </c>
      <c r="AS21" s="135"/>
      <c r="AT21" s="131" t="s">
        <v>115</v>
      </c>
      <c r="AU21" s="132"/>
      <c r="AV21" s="132"/>
      <c r="AW21" s="132"/>
      <c r="AX21" s="132"/>
      <c r="AY21" s="133"/>
      <c r="AZ21" s="133"/>
      <c r="BA21" s="131" t="s">
        <v>137</v>
      </c>
      <c r="BB21" s="132" t="s">
        <v>137</v>
      </c>
      <c r="BC21" s="132" t="s">
        <v>137</v>
      </c>
      <c r="BD21" s="135" t="s">
        <v>137</v>
      </c>
    </row>
    <row r="22" spans="1:56" s="88" customFormat="1" ht="15" customHeight="1">
      <c r="A22" s="57"/>
      <c r="B22" s="129" t="s">
        <v>132</v>
      </c>
      <c r="C22" s="129" t="s">
        <v>112</v>
      </c>
      <c r="D22" s="130" t="s">
        <v>156</v>
      </c>
      <c r="E22" s="131"/>
      <c r="F22" s="132"/>
      <c r="G22" s="132"/>
      <c r="H22" s="132" t="s">
        <v>115</v>
      </c>
      <c r="I22" s="132" t="s">
        <v>115</v>
      </c>
      <c r="J22" s="132"/>
      <c r="K22" s="132" t="s">
        <v>115</v>
      </c>
      <c r="L22" s="132"/>
      <c r="M22" s="132" t="s">
        <v>115</v>
      </c>
      <c r="N22" s="132"/>
      <c r="O22" s="132" t="s">
        <v>115</v>
      </c>
      <c r="P22" s="133" t="s">
        <v>115</v>
      </c>
      <c r="Q22" s="131"/>
      <c r="R22" s="132"/>
      <c r="S22" s="132"/>
      <c r="T22" s="135"/>
      <c r="U22" s="145" t="s">
        <v>137</v>
      </c>
      <c r="V22" s="137" t="s">
        <v>137</v>
      </c>
      <c r="W22" s="171" t="s">
        <v>137</v>
      </c>
      <c r="X22" s="171" t="s">
        <v>137</v>
      </c>
      <c r="Y22" s="137" t="s">
        <v>137</v>
      </c>
      <c r="Z22" s="137" t="s">
        <v>137</v>
      </c>
      <c r="AA22" s="138" t="s">
        <v>137</v>
      </c>
      <c r="AB22" s="131"/>
      <c r="AC22" s="132" t="s">
        <v>115</v>
      </c>
      <c r="AD22" s="132"/>
      <c r="AE22" s="135" t="s">
        <v>137</v>
      </c>
      <c r="AF22" s="131"/>
      <c r="AG22" s="132" t="s">
        <v>115</v>
      </c>
      <c r="AH22" s="135"/>
      <c r="AI22" s="141" t="s">
        <v>137</v>
      </c>
      <c r="AJ22" s="133" t="s">
        <v>137</v>
      </c>
      <c r="AK22" s="131"/>
      <c r="AL22" s="141"/>
      <c r="AM22" s="141"/>
      <c r="AN22" s="141" t="s">
        <v>115</v>
      </c>
      <c r="AO22" s="132"/>
      <c r="AP22" s="132"/>
      <c r="AQ22" s="135"/>
      <c r="AR22" s="141"/>
      <c r="AS22" s="135" t="s">
        <v>115</v>
      </c>
      <c r="AT22" s="131"/>
      <c r="AU22" s="132" t="s">
        <v>115</v>
      </c>
      <c r="AV22" s="132"/>
      <c r="AW22" s="132"/>
      <c r="AX22" s="141"/>
      <c r="AY22" s="133"/>
      <c r="AZ22" s="133" t="s">
        <v>115</v>
      </c>
      <c r="BA22" s="131" t="s">
        <v>137</v>
      </c>
      <c r="BB22" s="132" t="s">
        <v>137</v>
      </c>
      <c r="BC22" s="132" t="s">
        <v>137</v>
      </c>
      <c r="BD22" s="135" t="s">
        <v>137</v>
      </c>
    </row>
    <row r="23" spans="1:56" s="90" customFormat="1" ht="15" customHeight="1">
      <c r="A23" s="59"/>
      <c r="B23" s="175" t="s">
        <v>133</v>
      </c>
      <c r="C23" s="175" t="s">
        <v>112</v>
      </c>
      <c r="D23" s="176" t="s">
        <v>136</v>
      </c>
      <c r="E23" s="177"/>
      <c r="F23" s="178"/>
      <c r="G23" s="178"/>
      <c r="H23" s="178" t="s">
        <v>115</v>
      </c>
      <c r="I23" s="178" t="s">
        <v>115</v>
      </c>
      <c r="J23" s="178"/>
      <c r="K23" s="178" t="s">
        <v>115</v>
      </c>
      <c r="L23" s="178"/>
      <c r="M23" s="178"/>
      <c r="N23" s="178" t="s">
        <v>281</v>
      </c>
      <c r="O23" s="178"/>
      <c r="P23" s="179" t="s">
        <v>115</v>
      </c>
      <c r="Q23" s="177"/>
      <c r="R23" s="178"/>
      <c r="S23" s="178"/>
      <c r="T23" s="180"/>
      <c r="U23" s="181"/>
      <c r="V23" s="181"/>
      <c r="W23" s="181"/>
      <c r="X23" s="181"/>
      <c r="Y23" s="178"/>
      <c r="Z23" s="178" t="s">
        <v>528</v>
      </c>
      <c r="AA23" s="179" t="s">
        <v>137</v>
      </c>
      <c r="AB23" s="131" t="s">
        <v>137</v>
      </c>
      <c r="AC23" s="179" t="s">
        <v>137</v>
      </c>
      <c r="AD23" s="179" t="s">
        <v>137</v>
      </c>
      <c r="AE23" s="172" t="s">
        <v>137</v>
      </c>
      <c r="AF23" s="177"/>
      <c r="AG23" s="178"/>
      <c r="AH23" s="180" t="s">
        <v>281</v>
      </c>
      <c r="AI23" s="181"/>
      <c r="AJ23" s="179" t="s">
        <v>137</v>
      </c>
      <c r="AK23" s="177" t="s">
        <v>115</v>
      </c>
      <c r="AL23" s="181"/>
      <c r="AM23" s="181"/>
      <c r="AN23" s="181"/>
      <c r="AO23" s="178"/>
      <c r="AP23" s="178"/>
      <c r="AQ23" s="180"/>
      <c r="AR23" s="181" t="s">
        <v>115</v>
      </c>
      <c r="AS23" s="180"/>
      <c r="AT23" s="177"/>
      <c r="AU23" s="178"/>
      <c r="AV23" s="178"/>
      <c r="AW23" s="178"/>
      <c r="AX23" s="181" t="s">
        <v>115</v>
      </c>
      <c r="AY23" s="179"/>
      <c r="AZ23" s="179"/>
      <c r="BA23" s="177" t="s">
        <v>281</v>
      </c>
      <c r="BB23" s="178"/>
      <c r="BC23" s="178"/>
      <c r="BD23" s="180"/>
    </row>
    <row r="24" spans="1:56" s="90" customFormat="1" ht="15" customHeight="1">
      <c r="A24" s="59"/>
      <c r="B24" s="175" t="s">
        <v>134</v>
      </c>
      <c r="C24" s="175" t="s">
        <v>112</v>
      </c>
      <c r="D24" s="176" t="s">
        <v>136</v>
      </c>
      <c r="E24" s="177"/>
      <c r="F24" s="178"/>
      <c r="G24" s="178"/>
      <c r="H24" s="178" t="s">
        <v>115</v>
      </c>
      <c r="I24" s="178" t="s">
        <v>115</v>
      </c>
      <c r="J24" s="178"/>
      <c r="K24" s="178" t="s">
        <v>115</v>
      </c>
      <c r="L24" s="178"/>
      <c r="M24" s="178"/>
      <c r="N24" s="178"/>
      <c r="O24" s="178" t="s">
        <v>115</v>
      </c>
      <c r="P24" s="179"/>
      <c r="Q24" s="189" t="s">
        <v>115</v>
      </c>
      <c r="R24" s="178"/>
      <c r="S24" s="178"/>
      <c r="T24" s="180"/>
      <c r="U24" s="181" t="s">
        <v>115</v>
      </c>
      <c r="V24" s="181"/>
      <c r="W24" s="181"/>
      <c r="X24" s="181"/>
      <c r="Y24" s="178"/>
      <c r="Z24" s="178"/>
      <c r="AA24" s="179" t="s">
        <v>137</v>
      </c>
      <c r="AB24" s="177" t="s">
        <v>115</v>
      </c>
      <c r="AC24" s="181"/>
      <c r="AD24" s="178"/>
      <c r="AE24" s="180"/>
      <c r="AF24" s="177"/>
      <c r="AG24" s="178" t="s">
        <v>115</v>
      </c>
      <c r="AH24" s="180"/>
      <c r="AI24" s="181" t="s">
        <v>115</v>
      </c>
      <c r="AJ24" s="179" t="s">
        <v>137</v>
      </c>
      <c r="AK24" s="177"/>
      <c r="AL24" s="181"/>
      <c r="AM24" s="178" t="s">
        <v>115</v>
      </c>
      <c r="AN24" s="181"/>
      <c r="AO24" s="178"/>
      <c r="AP24" s="178"/>
      <c r="AQ24" s="180"/>
      <c r="AR24" s="181"/>
      <c r="AS24" s="180" t="s">
        <v>115</v>
      </c>
      <c r="AT24" s="177"/>
      <c r="AU24" s="178"/>
      <c r="AV24" s="178" t="s">
        <v>115</v>
      </c>
      <c r="AW24" s="178"/>
      <c r="AX24" s="181"/>
      <c r="AY24" s="179"/>
      <c r="AZ24" s="179" t="s">
        <v>115</v>
      </c>
      <c r="BA24" s="177"/>
      <c r="BB24" s="178"/>
      <c r="BC24" s="178" t="s">
        <v>281</v>
      </c>
      <c r="BD24" s="180"/>
    </row>
    <row r="25" spans="1:56" s="89" customFormat="1" ht="15" customHeight="1">
      <c r="A25" s="58"/>
      <c r="B25" s="146" t="s">
        <v>135</v>
      </c>
      <c r="C25" s="146" t="s">
        <v>112</v>
      </c>
      <c r="D25" s="147" t="s">
        <v>157</v>
      </c>
      <c r="E25" s="142"/>
      <c r="F25" s="134"/>
      <c r="G25" s="134"/>
      <c r="H25" s="134" t="s">
        <v>115</v>
      </c>
      <c r="I25" s="134" t="s">
        <v>115</v>
      </c>
      <c r="J25" s="134"/>
      <c r="K25" s="134" t="s">
        <v>115</v>
      </c>
      <c r="L25" s="134"/>
      <c r="M25" s="134"/>
      <c r="N25" s="134"/>
      <c r="O25" s="134"/>
      <c r="P25" s="144" t="s">
        <v>115</v>
      </c>
      <c r="Q25" s="142" t="s">
        <v>115</v>
      </c>
      <c r="R25" s="134"/>
      <c r="S25" s="134"/>
      <c r="T25" s="143" t="s">
        <v>115</v>
      </c>
      <c r="U25" s="136" t="s">
        <v>137</v>
      </c>
      <c r="V25" s="136" t="s">
        <v>137</v>
      </c>
      <c r="W25" s="171" t="s">
        <v>137</v>
      </c>
      <c r="X25" s="171" t="s">
        <v>137</v>
      </c>
      <c r="Y25" s="134" t="s">
        <v>137</v>
      </c>
      <c r="Z25" s="134" t="s">
        <v>137</v>
      </c>
      <c r="AA25" s="144" t="s">
        <v>137</v>
      </c>
      <c r="AB25" s="142" t="s">
        <v>115</v>
      </c>
      <c r="AC25" s="136"/>
      <c r="AD25" s="134"/>
      <c r="AE25" s="172" t="s">
        <v>137</v>
      </c>
      <c r="AF25" s="142"/>
      <c r="AG25" s="134" t="s">
        <v>115</v>
      </c>
      <c r="AH25" s="143"/>
      <c r="AI25" s="136"/>
      <c r="AJ25" s="167" t="s">
        <v>137</v>
      </c>
      <c r="AK25" s="142"/>
      <c r="AL25" s="136" t="s">
        <v>115</v>
      </c>
      <c r="AM25" s="136"/>
      <c r="AN25" s="136"/>
      <c r="AO25" s="134"/>
      <c r="AP25" s="134"/>
      <c r="AQ25" s="143"/>
      <c r="AR25" s="136"/>
      <c r="AS25" s="143" t="s">
        <v>115</v>
      </c>
      <c r="AT25" s="142" t="s">
        <v>115</v>
      </c>
      <c r="AU25" s="134"/>
      <c r="AV25" s="134"/>
      <c r="AW25" s="134"/>
      <c r="AX25" s="134"/>
      <c r="AY25" s="144"/>
      <c r="AZ25" s="144"/>
      <c r="BA25" s="190" t="s">
        <v>137</v>
      </c>
      <c r="BB25" s="191" t="s">
        <v>137</v>
      </c>
      <c r="BC25" s="191" t="s">
        <v>137</v>
      </c>
      <c r="BD25" s="192" t="s">
        <v>137</v>
      </c>
    </row>
    <row r="26" spans="1:56" s="89" customFormat="1" ht="15" customHeight="1">
      <c r="A26" s="58"/>
      <c r="B26" s="146" t="s">
        <v>138</v>
      </c>
      <c r="C26" s="146" t="s">
        <v>112</v>
      </c>
      <c r="D26" s="147" t="s">
        <v>157</v>
      </c>
      <c r="E26" s="142"/>
      <c r="F26" s="134"/>
      <c r="G26" s="134"/>
      <c r="H26" s="134" t="s">
        <v>115</v>
      </c>
      <c r="I26" s="134" t="s">
        <v>115</v>
      </c>
      <c r="J26" s="134"/>
      <c r="K26" s="134" t="s">
        <v>115</v>
      </c>
      <c r="L26" s="134"/>
      <c r="M26" s="134" t="s">
        <v>115</v>
      </c>
      <c r="N26" s="134"/>
      <c r="O26" s="134" t="s">
        <v>115</v>
      </c>
      <c r="P26" s="144" t="s">
        <v>115</v>
      </c>
      <c r="Q26" s="142"/>
      <c r="R26" s="136" t="s">
        <v>115</v>
      </c>
      <c r="S26" s="134"/>
      <c r="T26" s="143"/>
      <c r="U26" s="136" t="s">
        <v>137</v>
      </c>
      <c r="V26" s="136" t="s">
        <v>137</v>
      </c>
      <c r="W26" s="171" t="s">
        <v>137</v>
      </c>
      <c r="X26" s="171" t="s">
        <v>137</v>
      </c>
      <c r="Y26" s="134" t="s">
        <v>137</v>
      </c>
      <c r="Z26" s="134" t="s">
        <v>137</v>
      </c>
      <c r="AA26" s="144" t="s">
        <v>137</v>
      </c>
      <c r="AB26" s="142"/>
      <c r="AC26" s="134" t="s">
        <v>281</v>
      </c>
      <c r="AD26" s="134"/>
      <c r="AE26" s="135" t="s">
        <v>137</v>
      </c>
      <c r="AF26" s="142" t="s">
        <v>115</v>
      </c>
      <c r="AG26" s="134"/>
      <c r="AH26" s="143"/>
      <c r="AI26" s="136"/>
      <c r="AJ26" s="166" t="s">
        <v>137</v>
      </c>
      <c r="AK26" s="142"/>
      <c r="AL26" s="136"/>
      <c r="AM26" s="136"/>
      <c r="AN26" s="136"/>
      <c r="AO26" s="134"/>
      <c r="AP26" s="134" t="s">
        <v>281</v>
      </c>
      <c r="AQ26" s="143" t="s">
        <v>115</v>
      </c>
      <c r="AR26" s="136" t="s">
        <v>115</v>
      </c>
      <c r="AS26" s="143"/>
      <c r="AT26" s="142"/>
      <c r="AU26" s="132"/>
      <c r="AV26" s="134"/>
      <c r="AW26" s="132" t="s">
        <v>115</v>
      </c>
      <c r="AX26" s="132"/>
      <c r="AY26" s="144"/>
      <c r="AZ26" s="144" t="s">
        <v>115</v>
      </c>
      <c r="BA26" s="142"/>
      <c r="BB26" s="134" t="s">
        <v>115</v>
      </c>
      <c r="BC26" s="134"/>
      <c r="BD26" s="172" t="s">
        <v>137</v>
      </c>
    </row>
    <row r="27" spans="1:56" s="65" customFormat="1" ht="15" customHeight="1">
      <c r="A27" s="64"/>
      <c r="B27" s="182" t="s">
        <v>139</v>
      </c>
      <c r="C27" s="182" t="s">
        <v>112</v>
      </c>
      <c r="D27" s="183" t="s">
        <v>158</v>
      </c>
      <c r="E27" s="184"/>
      <c r="F27" s="185"/>
      <c r="G27" s="185"/>
      <c r="H27" s="185" t="s">
        <v>115</v>
      </c>
      <c r="I27" s="185" t="s">
        <v>115</v>
      </c>
      <c r="J27" s="185"/>
      <c r="K27" s="185"/>
      <c r="L27" s="185" t="s">
        <v>115</v>
      </c>
      <c r="M27" s="185"/>
      <c r="N27" s="185"/>
      <c r="O27" s="185"/>
      <c r="P27" s="186" t="s">
        <v>115</v>
      </c>
      <c r="Q27" s="184"/>
      <c r="R27" s="185"/>
      <c r="S27" s="185"/>
      <c r="T27" s="187"/>
      <c r="U27" s="188"/>
      <c r="V27" s="188"/>
      <c r="W27" s="188"/>
      <c r="X27" s="188" t="s">
        <v>115</v>
      </c>
      <c r="Y27" s="185"/>
      <c r="Z27" s="185"/>
      <c r="AA27" s="186"/>
      <c r="AB27" s="184" t="s">
        <v>115</v>
      </c>
      <c r="AC27" s="188"/>
      <c r="AD27" s="185"/>
      <c r="AE27" s="187"/>
      <c r="AF27" s="184"/>
      <c r="AG27" s="185" t="s">
        <v>115</v>
      </c>
      <c r="AH27" s="187"/>
      <c r="AI27" s="188" t="s">
        <v>115</v>
      </c>
      <c r="AJ27" s="186" t="s">
        <v>115</v>
      </c>
      <c r="AK27" s="184"/>
      <c r="AL27" s="185"/>
      <c r="AM27" s="188"/>
      <c r="AN27" s="185"/>
      <c r="AO27" s="185"/>
      <c r="AP27" s="185" t="s">
        <v>281</v>
      </c>
      <c r="AQ27" s="187"/>
      <c r="AR27" s="188" t="s">
        <v>115</v>
      </c>
      <c r="AS27" s="187"/>
      <c r="AT27" s="184"/>
      <c r="AU27" s="185" t="s">
        <v>115</v>
      </c>
      <c r="AV27" s="185"/>
      <c r="AW27" s="185"/>
      <c r="AX27" s="185"/>
      <c r="AY27" s="186"/>
      <c r="AZ27" s="186"/>
      <c r="BA27" s="190" t="s">
        <v>137</v>
      </c>
      <c r="BB27" s="191" t="s">
        <v>137</v>
      </c>
      <c r="BC27" s="191" t="s">
        <v>137</v>
      </c>
      <c r="BD27" s="192" t="s">
        <v>137</v>
      </c>
    </row>
    <row r="28" spans="1:56" s="89" customFormat="1" ht="15" customHeight="1" thickBot="1">
      <c r="A28" s="58"/>
      <c r="B28" s="193" t="s">
        <v>140</v>
      </c>
      <c r="C28" s="193" t="s">
        <v>112</v>
      </c>
      <c r="D28" s="194" t="s">
        <v>158</v>
      </c>
      <c r="E28" s="195"/>
      <c r="F28" s="196"/>
      <c r="G28" s="196"/>
      <c r="H28" s="196" t="s">
        <v>115</v>
      </c>
      <c r="I28" s="196" t="s">
        <v>115</v>
      </c>
      <c r="J28" s="196"/>
      <c r="K28" s="196" t="s">
        <v>115</v>
      </c>
      <c r="L28" s="196"/>
      <c r="M28" s="196"/>
      <c r="N28" s="196"/>
      <c r="O28" s="196" t="s">
        <v>115</v>
      </c>
      <c r="P28" s="197" t="s">
        <v>115</v>
      </c>
      <c r="Q28" s="195"/>
      <c r="R28" s="196"/>
      <c r="S28" s="196"/>
      <c r="T28" s="198" t="s">
        <v>115</v>
      </c>
      <c r="U28" s="199" t="s">
        <v>115</v>
      </c>
      <c r="V28" s="199"/>
      <c r="W28" s="199"/>
      <c r="X28" s="199"/>
      <c r="Y28" s="196"/>
      <c r="Z28" s="196" t="s">
        <v>115</v>
      </c>
      <c r="AA28" s="197"/>
      <c r="AB28" s="195" t="s">
        <v>528</v>
      </c>
      <c r="AC28" s="199"/>
      <c r="AD28" s="196"/>
      <c r="AE28" s="198"/>
      <c r="AF28" s="195" t="s">
        <v>115</v>
      </c>
      <c r="AG28" s="196"/>
      <c r="AH28" s="198"/>
      <c r="AI28" s="199"/>
      <c r="AJ28" s="197" t="s">
        <v>115</v>
      </c>
      <c r="AK28" s="195"/>
      <c r="AL28" s="199"/>
      <c r="AM28" s="199"/>
      <c r="AN28" s="199"/>
      <c r="AO28" s="196"/>
      <c r="AP28" s="196"/>
      <c r="AQ28" s="198"/>
      <c r="AR28" s="199"/>
      <c r="AS28" s="198" t="s">
        <v>115</v>
      </c>
      <c r="AT28" s="195"/>
      <c r="AU28" s="196"/>
      <c r="AV28" s="196"/>
      <c r="AW28" s="196"/>
      <c r="AX28" s="196"/>
      <c r="AY28" s="197" t="s">
        <v>115</v>
      </c>
      <c r="AZ28" s="197" t="s">
        <v>115</v>
      </c>
      <c r="BA28" s="195"/>
      <c r="BB28" s="196"/>
      <c r="BC28" s="196"/>
      <c r="BD28" s="198" t="s">
        <v>115</v>
      </c>
    </row>
    <row r="30" spans="1:56" s="201" customFormat="1">
      <c r="C30" s="202"/>
      <c r="D30" s="200"/>
    </row>
    <row r="32" spans="1:56">
      <c r="D32" s="200"/>
    </row>
    <row r="33" spans="4:6">
      <c r="D33" s="200"/>
    </row>
    <row r="34" spans="4:6">
      <c r="D34" s="200"/>
    </row>
    <row r="35" spans="4:6">
      <c r="D35" s="200"/>
    </row>
    <row r="36" spans="4:6">
      <c r="D36" s="200"/>
    </row>
    <row r="37" spans="4:6">
      <c r="D37" s="200"/>
    </row>
    <row r="38" spans="4:6">
      <c r="D38" s="200"/>
    </row>
    <row r="39" spans="4:6">
      <c r="D39" s="200"/>
    </row>
    <row r="40" spans="4:6">
      <c r="D40" s="200"/>
    </row>
    <row r="41" spans="4:6">
      <c r="D41" s="200"/>
      <c r="F41" s="201"/>
    </row>
    <row r="42" spans="4:6">
      <c r="D42" s="200"/>
    </row>
    <row r="43" spans="4:6">
      <c r="D43" s="200"/>
    </row>
  </sheetData>
  <autoFilter ref="A7:BB28" xr:uid="{97674D7E-424E-4A8F-8D41-793775CBAE1B}"/>
  <sortState xmlns:xlrd2="http://schemas.microsoft.com/office/spreadsheetml/2017/richdata2" ref="C9:BB28">
    <sortCondition ref="C8:C28"/>
    <sortCondition ref="D8:D28"/>
  </sortState>
  <mergeCells count="30">
    <mergeCell ref="B5:B7"/>
    <mergeCell ref="E6:H6"/>
    <mergeCell ref="E1:Q1"/>
    <mergeCell ref="U5:AA5"/>
    <mergeCell ref="U6:V6"/>
    <mergeCell ref="W6:X6"/>
    <mergeCell ref="C5:C7"/>
    <mergeCell ref="D5:D7"/>
    <mergeCell ref="Y6:Z6"/>
    <mergeCell ref="AB5:AE5"/>
    <mergeCell ref="AI5:AJ6"/>
    <mergeCell ref="AF5:AH6"/>
    <mergeCell ref="I6:J6"/>
    <mergeCell ref="K6:N6"/>
    <mergeCell ref="O6:P6"/>
    <mergeCell ref="E5:P5"/>
    <mergeCell ref="Q5:T5"/>
    <mergeCell ref="Q6:S6"/>
    <mergeCell ref="AC6:AE6"/>
    <mergeCell ref="AB6:AB7"/>
    <mergeCell ref="AK5:AQ5"/>
    <mergeCell ref="AR5:AZ5"/>
    <mergeCell ref="BA5:BD6"/>
    <mergeCell ref="AK6:AM6"/>
    <mergeCell ref="AN6:AQ6"/>
    <mergeCell ref="AR6:AS6"/>
    <mergeCell ref="AT6:AU6"/>
    <mergeCell ref="AV6:AW6"/>
    <mergeCell ref="AX6:AY6"/>
    <mergeCell ref="AZ6:AZ7"/>
  </mergeCells>
  <phoneticPr fontId="3" type="noConversion"/>
  <conditionalFormatting sqref="B8:BD31">
    <cfRule type="expression" dxfId="38" priority="2">
      <formula>$D8="통합멤버십"</formula>
    </cfRule>
    <cfRule type="expression" dxfId="37" priority="3">
      <formula>$D8="온라인회원"</formula>
    </cfRule>
    <cfRule type="expression" dxfId="36" priority="4">
      <formula>$D8="비회원"</formula>
    </cfRule>
  </conditionalFormatting>
  <printOptions horizontalCentered="1" verticalCentered="1"/>
  <pageMargins left="0" right="0" top="0.74803149606299213" bottom="0.74803149606299213" header="0.31496062992125984" footer="0.31496062992125984"/>
  <pageSetup paperSize="9" scale="32" orientation="landscape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BAD6986-03A8-42C3-BAB6-09636725ADD0}">
            <xm:f>NOT(ISERROR(SEARCH("-",U8)))</xm:f>
            <xm:f>"-"</xm:f>
            <x14:dxf>
              <font>
                <color theme="0"/>
              </font>
              <fill>
                <patternFill>
                  <bgColor theme="1" tint="0.34998626667073579"/>
                </patternFill>
              </fill>
            </x14:dxf>
          </x14:cfRule>
          <xm:sqref>U8:BD31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5D25-7F4C-4F39-8C64-A5E0049A74DC}">
  <sheetPr>
    <pageSetUpPr fitToPage="1"/>
  </sheetPr>
  <dimension ref="A1:BW46"/>
  <sheetViews>
    <sheetView zoomScaleNormal="100" workbookViewId="0">
      <pane xSplit="18" ySplit="8" topLeftCell="S9" activePane="bottomRight" state="frozen"/>
      <selection pane="topRight" activeCell="R1" sqref="R1"/>
      <selection pane="bottomLeft" activeCell="A9" sqref="A9"/>
      <selection pane="bottomRight" activeCell="AA18" sqref="AA18"/>
    </sheetView>
  </sheetViews>
  <sheetFormatPr defaultColWidth="8.88671875" defaultRowHeight="12" outlineLevelCol="1"/>
  <cols>
    <col min="1" max="1" width="2.77734375" style="119" customWidth="1"/>
    <col min="2" max="2" width="5.77734375" style="95" customWidth="1"/>
    <col min="3" max="3" width="8.5546875" style="95" bestFit="1" customWidth="1"/>
    <col min="4" max="4" width="5.77734375" style="95" customWidth="1"/>
    <col min="5" max="5" width="8.77734375" style="95" customWidth="1"/>
    <col min="6" max="6" width="8.77734375" style="95" hidden="1" customWidth="1"/>
    <col min="7" max="7" width="8.77734375" style="95" customWidth="1" outlineLevel="1"/>
    <col min="8" max="8" width="6.77734375" style="95" hidden="1" customWidth="1" outlineLevel="1"/>
    <col min="9" max="9" width="10.33203125" style="95" hidden="1" customWidth="1" outlineLevel="1"/>
    <col min="10" max="10" width="6.77734375" style="95" hidden="1" customWidth="1" outlineLevel="1"/>
    <col min="11" max="12" width="6.6640625" style="95" hidden="1" customWidth="1" outlineLevel="1"/>
    <col min="13" max="13" width="6.77734375" style="95" customWidth="1" outlineLevel="1"/>
    <col min="14" max="14" width="10.77734375" style="95" customWidth="1"/>
    <col min="15" max="15" width="8.77734375" style="213" customWidth="1"/>
    <col min="16" max="16" width="4" style="95" customWidth="1"/>
    <col min="17" max="17" width="7.5546875" style="95" bestFit="1" customWidth="1"/>
    <col min="18" max="18" width="8.77734375" style="95" customWidth="1"/>
    <col min="19" max="19" width="10.21875" style="95" customWidth="1" outlineLevel="1"/>
    <col min="20" max="20" width="8.77734375" style="95" customWidth="1" outlineLevel="1"/>
    <col min="21" max="21" width="20.77734375" style="111" customWidth="1" outlineLevel="1"/>
    <col min="22" max="22" width="6.44140625" style="95" customWidth="1" outlineLevel="1"/>
    <col min="23" max="23" width="8.77734375" style="240" customWidth="1" outlineLevel="1"/>
    <col min="24" max="24" width="8.77734375" style="240" customWidth="1"/>
    <col min="25" max="25" width="10.77734375" style="95" customWidth="1" outlineLevel="1"/>
    <col min="26" max="26" width="8.77734375" style="95" customWidth="1" outlineLevel="1"/>
    <col min="27" max="27" width="7.5546875" style="95" customWidth="1" outlineLevel="1"/>
    <col min="28" max="28" width="8.77734375" style="95" customWidth="1" outlineLevel="1"/>
    <col min="29" max="29" width="20.77734375" style="111" customWidth="1" outlineLevel="1"/>
    <col min="30" max="30" width="8.77734375" style="95" customWidth="1" outlineLevel="1"/>
    <col min="31" max="31" width="8.77734375" style="111" customWidth="1" outlineLevel="1"/>
    <col min="32" max="32" width="12" style="111" customWidth="1"/>
    <col min="33" max="33" width="10.21875" style="111" customWidth="1" outlineLevel="1"/>
    <col min="34" max="34" width="7.5546875" style="95" customWidth="1"/>
    <col min="35" max="35" width="7.5546875" style="95" customWidth="1" outlineLevel="1"/>
    <col min="36" max="36" width="10.21875" style="95" customWidth="1" outlineLevel="1"/>
    <col min="37" max="37" width="10.21875" style="213" customWidth="1" outlineLevel="1"/>
    <col min="38" max="39" width="8.77734375" style="213" customWidth="1"/>
    <col min="40" max="42" width="8.77734375" style="95" customWidth="1"/>
    <col min="43" max="43" width="11.21875" style="95" customWidth="1"/>
    <col min="44" max="47" width="8.77734375" style="95" customWidth="1"/>
    <col min="48" max="50" width="6.77734375" style="95" customWidth="1"/>
    <col min="51" max="61" width="8.77734375" style="95" customWidth="1"/>
    <col min="62" max="62" width="11.21875" style="95" bestFit="1" customWidth="1"/>
    <col min="63" max="67" width="8.77734375" style="95" customWidth="1"/>
    <col min="68" max="68" width="11.21875" style="95" customWidth="1"/>
    <col min="69" max="75" width="8.77734375" style="95" customWidth="1"/>
    <col min="76" max="16384" width="8.88671875" style="95"/>
  </cols>
  <sheetData>
    <row r="1" spans="1:75">
      <c r="B1" s="214"/>
      <c r="C1" s="214"/>
      <c r="D1" s="214"/>
    </row>
    <row r="2" spans="1:75"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5"/>
      <c r="P2" s="214"/>
      <c r="Q2" s="214"/>
      <c r="R2" s="214"/>
      <c r="S2" s="214"/>
      <c r="T2" s="214"/>
      <c r="U2" s="216"/>
      <c r="V2" s="214"/>
      <c r="W2" s="241"/>
      <c r="X2" s="241"/>
      <c r="Y2" s="214"/>
      <c r="Z2" s="214"/>
      <c r="AA2" s="214"/>
      <c r="AB2" s="214"/>
      <c r="AC2" s="216"/>
      <c r="AD2" s="214"/>
      <c r="AE2" s="216"/>
      <c r="AF2" s="216"/>
      <c r="AG2" s="216"/>
      <c r="AH2" s="214"/>
      <c r="AI2" s="214"/>
      <c r="AJ2" s="214"/>
      <c r="AK2" s="215"/>
      <c r="AL2" s="215"/>
      <c r="AM2" s="215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4"/>
      <c r="AZ2" s="214"/>
      <c r="BA2" s="214"/>
      <c r="BB2" s="214"/>
      <c r="BC2" s="214"/>
      <c r="BD2" s="214"/>
      <c r="BE2" s="214"/>
      <c r="BF2" s="214"/>
      <c r="BG2" s="214"/>
      <c r="BH2" s="214"/>
      <c r="BI2" s="214"/>
      <c r="BJ2" s="214"/>
      <c r="BK2" s="214"/>
      <c r="BL2" s="214"/>
      <c r="BM2" s="214"/>
      <c r="BN2" s="214"/>
      <c r="BO2" s="214"/>
      <c r="BP2" s="214"/>
      <c r="BQ2" s="214"/>
      <c r="BR2" s="214"/>
      <c r="BS2" s="214"/>
      <c r="BT2" s="214"/>
      <c r="BU2" s="214"/>
    </row>
    <row r="3" spans="1:75" ht="12" customHeight="1"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/>
      <c r="P3" s="214"/>
      <c r="Q3" s="214"/>
      <c r="R3" s="214"/>
      <c r="S3" s="214"/>
      <c r="T3" s="214"/>
      <c r="U3" s="216"/>
      <c r="V3" s="214"/>
      <c r="W3" s="241"/>
      <c r="X3" s="241"/>
      <c r="Y3" s="214"/>
      <c r="Z3" s="214"/>
      <c r="AA3" s="214"/>
      <c r="AB3" s="214"/>
      <c r="AC3" s="216"/>
      <c r="AD3" s="214"/>
      <c r="AE3" s="216"/>
      <c r="AF3" s="216"/>
      <c r="AG3" s="216"/>
      <c r="AH3" s="214"/>
      <c r="AI3" s="214"/>
      <c r="AJ3" s="214"/>
      <c r="AK3" s="215"/>
      <c r="AL3" s="215"/>
      <c r="AM3" s="215"/>
      <c r="AN3" s="215"/>
      <c r="AO3" s="215"/>
      <c r="AP3" s="215"/>
      <c r="AQ3" s="215"/>
      <c r="AR3" s="215"/>
      <c r="AS3" s="214"/>
      <c r="AT3" s="214"/>
      <c r="AU3" s="214"/>
      <c r="AV3" s="214"/>
      <c r="AW3" s="214"/>
      <c r="AX3" s="214"/>
      <c r="AY3" s="214"/>
      <c r="AZ3" s="214"/>
      <c r="BA3" s="214"/>
      <c r="BB3" s="214"/>
      <c r="BC3" s="214"/>
      <c r="BD3" s="214"/>
      <c r="BE3" s="214"/>
      <c r="BF3" s="214"/>
      <c r="BG3" s="214"/>
      <c r="BH3" s="214"/>
      <c r="BI3" s="214"/>
      <c r="BJ3" s="214"/>
      <c r="BK3" s="214"/>
      <c r="BL3" s="215"/>
      <c r="BM3" s="215"/>
      <c r="BN3" s="215"/>
      <c r="BO3" s="215"/>
      <c r="BP3" s="215"/>
      <c r="BQ3" s="214"/>
      <c r="BR3" s="214"/>
      <c r="BS3" s="214"/>
      <c r="BT3" s="214"/>
      <c r="BU3" s="214"/>
    </row>
    <row r="4" spans="1:75">
      <c r="N4" s="203"/>
      <c r="O4" s="203"/>
    </row>
    <row r="6" spans="1:75" ht="18" customHeight="1" thickBot="1">
      <c r="B6" s="74"/>
      <c r="C6" s="74"/>
      <c r="D6" s="74"/>
      <c r="E6" s="74"/>
      <c r="F6" s="74"/>
      <c r="G6" s="382"/>
      <c r="H6" s="382"/>
      <c r="I6" s="382"/>
      <c r="J6" s="382"/>
      <c r="K6" s="382"/>
      <c r="L6" s="382"/>
      <c r="M6" s="382"/>
      <c r="N6" s="382"/>
      <c r="O6" s="382"/>
      <c r="P6" s="382"/>
      <c r="Q6" s="227"/>
      <c r="R6" s="227"/>
      <c r="S6" s="74"/>
      <c r="T6" s="74"/>
      <c r="U6" s="103"/>
      <c r="V6" s="74"/>
      <c r="W6" s="242"/>
      <c r="X6" s="242"/>
      <c r="Y6" s="74"/>
      <c r="Z6" s="74"/>
      <c r="AA6" s="74"/>
      <c r="AB6" s="74"/>
      <c r="AC6" s="103"/>
      <c r="AD6" s="74"/>
      <c r="AE6" s="103"/>
      <c r="AF6" s="103"/>
      <c r="AG6" s="103"/>
      <c r="AH6" s="74"/>
      <c r="AI6" s="74"/>
      <c r="AJ6" s="74"/>
      <c r="AK6" s="205"/>
      <c r="AL6" s="205"/>
      <c r="AM6" s="205"/>
      <c r="AN6" s="74"/>
      <c r="AO6" s="74"/>
      <c r="AP6" s="74"/>
      <c r="AQ6" s="74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74"/>
      <c r="BJ6" s="74"/>
      <c r="BK6" s="74"/>
      <c r="BL6" s="74"/>
      <c r="BM6" s="74"/>
      <c r="BN6" s="74"/>
      <c r="BO6" s="74"/>
      <c r="BP6" s="74"/>
      <c r="BQ6" s="74"/>
      <c r="BR6" s="74"/>
      <c r="BS6" s="74"/>
      <c r="BT6" s="74"/>
      <c r="BU6" s="74"/>
      <c r="BV6" s="74"/>
      <c r="BW6" s="74"/>
    </row>
    <row r="7" spans="1:75" s="232" customFormat="1" ht="12" customHeight="1">
      <c r="A7" s="231"/>
      <c r="B7" s="254" t="s">
        <v>149</v>
      </c>
      <c r="C7" s="254" t="s">
        <v>117</v>
      </c>
      <c r="D7" s="254" t="s">
        <v>116</v>
      </c>
      <c r="E7" s="352" t="s">
        <v>141</v>
      </c>
      <c r="F7" s="353"/>
      <c r="G7" s="365" t="s">
        <v>22</v>
      </c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7"/>
      <c r="S7" s="352" t="s">
        <v>77</v>
      </c>
      <c r="T7" s="353"/>
      <c r="U7" s="353"/>
      <c r="V7" s="353"/>
      <c r="W7" s="353"/>
      <c r="X7" s="354"/>
      <c r="Y7" s="358" t="s">
        <v>24</v>
      </c>
      <c r="Z7" s="353"/>
      <c r="AA7" s="353"/>
      <c r="AB7" s="353"/>
      <c r="AC7" s="353"/>
      <c r="AD7" s="353"/>
      <c r="AE7" s="353"/>
      <c r="AF7" s="354"/>
      <c r="AG7" s="438" t="s">
        <v>247</v>
      </c>
      <c r="AH7" s="353" t="s">
        <v>344</v>
      </c>
      <c r="AI7" s="353"/>
      <c r="AJ7" s="353"/>
      <c r="AK7" s="353"/>
      <c r="AL7" s="353"/>
      <c r="AM7" s="379" t="s">
        <v>650</v>
      </c>
      <c r="AN7" s="353" t="s">
        <v>110</v>
      </c>
      <c r="AO7" s="353"/>
      <c r="AP7" s="354"/>
      <c r="AQ7" s="358" t="s">
        <v>244</v>
      </c>
      <c r="AR7" s="353"/>
      <c r="AS7" s="354"/>
      <c r="AT7" s="358" t="s">
        <v>113</v>
      </c>
      <c r="AU7" s="353"/>
      <c r="AV7" s="353"/>
      <c r="AW7" s="353"/>
      <c r="AX7" s="354"/>
      <c r="AY7" s="358" t="s">
        <v>142</v>
      </c>
      <c r="AZ7" s="353"/>
      <c r="BA7" s="353"/>
      <c r="BB7" s="353"/>
      <c r="BC7" s="353"/>
      <c r="BD7" s="353"/>
      <c r="BE7" s="358" t="s">
        <v>114</v>
      </c>
      <c r="BF7" s="353"/>
      <c r="BG7" s="353"/>
      <c r="BH7" s="353"/>
      <c r="BI7" s="354"/>
      <c r="BJ7" s="358" t="s">
        <v>257</v>
      </c>
      <c r="BK7" s="354"/>
      <c r="BL7" s="358" t="s">
        <v>656</v>
      </c>
      <c r="BM7" s="353"/>
      <c r="BN7" s="353"/>
      <c r="BO7" s="353"/>
      <c r="BP7" s="353"/>
      <c r="BQ7" s="354"/>
      <c r="BR7" s="358" t="s">
        <v>150</v>
      </c>
      <c r="BS7" s="353"/>
      <c r="BT7" s="353"/>
      <c r="BU7" s="353"/>
      <c r="BV7" s="353"/>
      <c r="BW7" s="378"/>
    </row>
    <row r="8" spans="1:75" s="232" customFormat="1" ht="24.75" thickBot="1">
      <c r="A8" s="231"/>
      <c r="B8" s="255"/>
      <c r="C8" s="255"/>
      <c r="D8" s="255"/>
      <c r="E8" s="233" t="s">
        <v>91</v>
      </c>
      <c r="F8" s="237" t="s">
        <v>21</v>
      </c>
      <c r="G8" s="239" t="s">
        <v>161</v>
      </c>
      <c r="H8" s="235" t="s">
        <v>162</v>
      </c>
      <c r="I8" s="235" t="s">
        <v>337</v>
      </c>
      <c r="J8" s="235" t="s">
        <v>262</v>
      </c>
      <c r="K8" s="235" t="s">
        <v>238</v>
      </c>
      <c r="L8" s="235" t="s">
        <v>237</v>
      </c>
      <c r="M8" s="235" t="s">
        <v>345</v>
      </c>
      <c r="N8" s="235" t="s">
        <v>651</v>
      </c>
      <c r="O8" s="230" t="s">
        <v>285</v>
      </c>
      <c r="P8" s="235" t="s">
        <v>159</v>
      </c>
      <c r="Q8" s="230" t="s">
        <v>646</v>
      </c>
      <c r="R8" s="437" t="s">
        <v>645</v>
      </c>
      <c r="S8" s="233" t="s">
        <v>235</v>
      </c>
      <c r="T8" s="235" t="s">
        <v>260</v>
      </c>
      <c r="U8" s="235" t="s">
        <v>236</v>
      </c>
      <c r="V8" s="235" t="s">
        <v>652</v>
      </c>
      <c r="W8" s="230" t="s">
        <v>647</v>
      </c>
      <c r="X8" s="230" t="s">
        <v>680</v>
      </c>
      <c r="Y8" s="235" t="s">
        <v>235</v>
      </c>
      <c r="Z8" s="235" t="s">
        <v>240</v>
      </c>
      <c r="AA8" s="235" t="s">
        <v>241</v>
      </c>
      <c r="AB8" s="235" t="s">
        <v>239</v>
      </c>
      <c r="AC8" s="235" t="s">
        <v>88</v>
      </c>
      <c r="AD8" s="235" t="s">
        <v>653</v>
      </c>
      <c r="AE8" s="230" t="s">
        <v>648</v>
      </c>
      <c r="AF8" s="230" t="s">
        <v>649</v>
      </c>
      <c r="AG8" s="439"/>
      <c r="AH8" s="233" t="s">
        <v>91</v>
      </c>
      <c r="AI8" s="235" t="s">
        <v>261</v>
      </c>
      <c r="AJ8" s="235" t="s">
        <v>251</v>
      </c>
      <c r="AK8" s="230" t="s">
        <v>160</v>
      </c>
      <c r="AL8" s="250" t="s">
        <v>654</v>
      </c>
      <c r="AM8" s="380"/>
      <c r="AN8" s="233" t="s">
        <v>242</v>
      </c>
      <c r="AO8" s="235" t="s">
        <v>243</v>
      </c>
      <c r="AP8" s="235" t="s">
        <v>246</v>
      </c>
      <c r="AQ8" s="235" t="s">
        <v>245</v>
      </c>
      <c r="AR8" s="235" t="s">
        <v>167</v>
      </c>
      <c r="AS8" s="235" t="s">
        <v>677</v>
      </c>
      <c r="AT8" s="235" t="s">
        <v>25</v>
      </c>
      <c r="AU8" s="235" t="s">
        <v>678</v>
      </c>
      <c r="AV8" s="235" t="s">
        <v>253</v>
      </c>
      <c r="AW8" s="235" t="s">
        <v>254</v>
      </c>
      <c r="AX8" s="235" t="s">
        <v>154</v>
      </c>
      <c r="AY8" s="235" t="s">
        <v>143</v>
      </c>
      <c r="AZ8" s="235" t="s">
        <v>145</v>
      </c>
      <c r="BA8" s="235" t="s">
        <v>144</v>
      </c>
      <c r="BB8" s="235" t="s">
        <v>146</v>
      </c>
      <c r="BC8" s="235" t="s">
        <v>147</v>
      </c>
      <c r="BD8" s="235" t="s">
        <v>148</v>
      </c>
      <c r="BE8" s="235" t="s">
        <v>255</v>
      </c>
      <c r="BF8" s="235" t="s">
        <v>250</v>
      </c>
      <c r="BG8" s="235" t="s">
        <v>235</v>
      </c>
      <c r="BH8" s="235" t="s">
        <v>655</v>
      </c>
      <c r="BI8" s="235" t="s">
        <v>256</v>
      </c>
      <c r="BJ8" s="235" t="s">
        <v>245</v>
      </c>
      <c r="BK8" s="235" t="s">
        <v>258</v>
      </c>
      <c r="BL8" s="233" t="s">
        <v>657</v>
      </c>
      <c r="BM8" s="233" t="s">
        <v>242</v>
      </c>
      <c r="BN8" s="235" t="s">
        <v>243</v>
      </c>
      <c r="BO8" s="235" t="s">
        <v>246</v>
      </c>
      <c r="BP8" s="235" t="s">
        <v>658</v>
      </c>
      <c r="BQ8" s="235" t="s">
        <v>656</v>
      </c>
      <c r="BR8" s="235" t="s">
        <v>19</v>
      </c>
      <c r="BS8" s="235" t="s">
        <v>151</v>
      </c>
      <c r="BT8" s="235" t="s">
        <v>152</v>
      </c>
      <c r="BU8" s="235" t="s">
        <v>153</v>
      </c>
      <c r="BV8" s="235" t="s">
        <v>45</v>
      </c>
      <c r="BW8" s="234" t="s">
        <v>20</v>
      </c>
    </row>
    <row r="9" spans="1:75" ht="36.75" thickTop="1">
      <c r="B9" s="372">
        <v>1</v>
      </c>
      <c r="C9" s="372" t="s">
        <v>263</v>
      </c>
      <c r="D9" s="374" t="s">
        <v>155</v>
      </c>
      <c r="E9" s="372" t="s">
        <v>156</v>
      </c>
      <c r="F9" s="375"/>
      <c r="G9" s="116" t="s">
        <v>197</v>
      </c>
      <c r="H9" s="114" t="s">
        <v>199</v>
      </c>
      <c r="I9" s="114" t="s">
        <v>309</v>
      </c>
      <c r="J9" s="114" t="s">
        <v>201</v>
      </c>
      <c r="K9" s="114"/>
      <c r="L9" s="114" t="s">
        <v>98</v>
      </c>
      <c r="M9" s="114" t="s">
        <v>346</v>
      </c>
      <c r="N9" s="440" t="str">
        <f>상품Data!H5</f>
        <v>2000000001</v>
      </c>
      <c r="O9" s="206">
        <f>상품Data!S5</f>
        <v>69000</v>
      </c>
      <c r="P9" s="225">
        <v>1</v>
      </c>
      <c r="Q9" s="228">
        <f>O9*P9</f>
        <v>69000</v>
      </c>
      <c r="R9" s="368">
        <f>SUM(Q9:Q10)</f>
        <v>91000</v>
      </c>
      <c r="S9" s="218" t="str">
        <f>프로모션Data!C9</f>
        <v>기간한정 특가</v>
      </c>
      <c r="T9" s="114">
        <f>프로모션Data!D9</f>
        <v>1234567894</v>
      </c>
      <c r="U9" s="104" t="str">
        <f>프로모션Data!E9</f>
        <v>[전체] 기간한정_30% 정률 할인</v>
      </c>
      <c r="V9" s="448">
        <v>0.3</v>
      </c>
      <c r="W9" s="243">
        <f>ROUNDUP(Q9*V9, -2)</f>
        <v>20700</v>
      </c>
      <c r="X9" s="368">
        <f>SUM(W9:W10)</f>
        <v>20700</v>
      </c>
      <c r="Y9" s="114"/>
      <c r="Z9" s="114"/>
      <c r="AA9" s="114"/>
      <c r="AB9" s="114" t="s">
        <v>309</v>
      </c>
      <c r="AC9" s="104"/>
      <c r="AD9" s="448"/>
      <c r="AE9" s="243"/>
      <c r="AF9" s="368">
        <f>SUM(AE9:AE10)</f>
        <v>0</v>
      </c>
      <c r="AG9" s="243">
        <f>O9-W9-AE9</f>
        <v>48300</v>
      </c>
      <c r="AH9" s="114" t="s">
        <v>356</v>
      </c>
      <c r="AI9" s="114" t="s">
        <v>199</v>
      </c>
      <c r="AJ9" s="114" t="s">
        <v>283</v>
      </c>
      <c r="AK9" s="206">
        <v>0</v>
      </c>
      <c r="AL9" s="373">
        <f>SUM(AK9:AK10)</f>
        <v>0</v>
      </c>
      <c r="AM9" s="381">
        <f>R9-X9-AF9+AL9</f>
        <v>70300</v>
      </c>
      <c r="AN9" s="218"/>
      <c r="AO9" s="114"/>
      <c r="AP9" s="114"/>
      <c r="AQ9" s="114" t="s">
        <v>252</v>
      </c>
      <c r="AR9" s="114" t="s">
        <v>98</v>
      </c>
      <c r="AS9" s="464">
        <f>AM9-AN9-AO9-AP9</f>
        <v>70300</v>
      </c>
      <c r="AT9" s="114"/>
      <c r="AU9" s="114"/>
      <c r="AV9" s="114"/>
      <c r="AW9" s="114" t="s">
        <v>98</v>
      </c>
      <c r="AX9" s="114" t="s">
        <v>98</v>
      </c>
      <c r="AY9" s="114"/>
      <c r="AZ9" s="114"/>
      <c r="BA9" s="114"/>
      <c r="BB9" s="114"/>
      <c r="BC9" s="114"/>
      <c r="BD9" s="114"/>
      <c r="BE9" s="114" t="s">
        <v>220</v>
      </c>
      <c r="BF9" s="114" t="s">
        <v>199</v>
      </c>
      <c r="BG9" s="114" t="s">
        <v>226</v>
      </c>
      <c r="BH9" s="114"/>
      <c r="BI9" s="114" t="s">
        <v>98</v>
      </c>
      <c r="BJ9" s="114" t="s">
        <v>191</v>
      </c>
      <c r="BK9" s="225"/>
      <c r="BL9" s="218"/>
      <c r="BM9" s="218"/>
      <c r="BN9" s="114"/>
      <c r="BO9" s="114"/>
      <c r="BP9" s="114" t="s">
        <v>252</v>
      </c>
      <c r="BQ9" s="114"/>
      <c r="BR9" s="114"/>
      <c r="BS9" s="114"/>
      <c r="BT9" s="114"/>
      <c r="BU9" s="114"/>
      <c r="BV9" s="114"/>
      <c r="BW9" s="101"/>
    </row>
    <row r="10" spans="1:75" ht="12.75" thickBot="1">
      <c r="B10" s="362"/>
      <c r="C10" s="362"/>
      <c r="D10" s="370"/>
      <c r="E10" s="362"/>
      <c r="F10" s="360"/>
      <c r="G10" s="117" t="s">
        <v>197</v>
      </c>
      <c r="H10" s="115" t="s">
        <v>199</v>
      </c>
      <c r="I10" s="115" t="s">
        <v>309</v>
      </c>
      <c r="J10" s="115" t="s">
        <v>201</v>
      </c>
      <c r="K10" s="115"/>
      <c r="L10" s="115"/>
      <c r="M10" s="115" t="s">
        <v>346</v>
      </c>
      <c r="N10" s="441" t="str">
        <f>상품Data!H6</f>
        <v>2000000002</v>
      </c>
      <c r="O10" s="207">
        <f>상품Data!S6</f>
        <v>11000</v>
      </c>
      <c r="P10" s="226">
        <v>2</v>
      </c>
      <c r="Q10" s="229">
        <f t="shared" ref="Q10:Q45" si="0">O10*P10</f>
        <v>22000</v>
      </c>
      <c r="R10" s="350"/>
      <c r="S10" s="219"/>
      <c r="T10" s="115" t="s">
        <v>309</v>
      </c>
      <c r="U10" s="105"/>
      <c r="V10" s="449"/>
      <c r="W10" s="244"/>
      <c r="X10" s="350"/>
      <c r="Y10" s="115"/>
      <c r="Z10" s="115"/>
      <c r="AA10" s="115"/>
      <c r="AB10" s="115" t="s">
        <v>309</v>
      </c>
      <c r="AC10" s="105"/>
      <c r="AD10" s="449"/>
      <c r="AE10" s="244"/>
      <c r="AF10" s="350"/>
      <c r="AG10" s="244">
        <f t="shared" ref="AG10:AG45" si="1">O10-W10-AE10</f>
        <v>11000</v>
      </c>
      <c r="AH10" s="113"/>
      <c r="AI10" s="113"/>
      <c r="AJ10" s="113"/>
      <c r="AK10" s="209" t="s">
        <v>309</v>
      </c>
      <c r="AL10" s="356"/>
      <c r="AM10" s="347">
        <f>R10-X10-AF10+AL10</f>
        <v>0</v>
      </c>
      <c r="AN10" s="219"/>
      <c r="AO10" s="115"/>
      <c r="AP10" s="115"/>
      <c r="AQ10" s="115"/>
      <c r="AR10" s="115"/>
      <c r="AS10" s="46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 s="115"/>
      <c r="BH10" s="115"/>
      <c r="BI10" s="115"/>
      <c r="BJ10" s="115"/>
      <c r="BK10" s="115"/>
      <c r="BL10" s="219"/>
      <c r="BM10" s="219"/>
      <c r="BN10" s="115"/>
      <c r="BO10" s="115"/>
      <c r="BP10" s="115"/>
      <c r="BQ10" s="115"/>
      <c r="BR10" s="115"/>
      <c r="BS10" s="115"/>
      <c r="BT10" s="115"/>
      <c r="BU10" s="115"/>
      <c r="BV10" s="115"/>
      <c r="BW10" s="99"/>
    </row>
    <row r="11" spans="1:75">
      <c r="B11" s="361">
        <v>2</v>
      </c>
      <c r="C11" s="361" t="s">
        <v>264</v>
      </c>
      <c r="D11" s="369" t="s">
        <v>155</v>
      </c>
      <c r="E11" s="361" t="s">
        <v>156</v>
      </c>
      <c r="F11" s="359"/>
      <c r="G11" s="263" t="s">
        <v>198</v>
      </c>
      <c r="H11" s="112" t="s">
        <v>199</v>
      </c>
      <c r="I11" s="112" t="s">
        <v>309</v>
      </c>
      <c r="J11" s="112" t="s">
        <v>201</v>
      </c>
      <c r="K11" s="112"/>
      <c r="L11" s="112"/>
      <c r="M11" s="112" t="s">
        <v>346</v>
      </c>
      <c r="N11" s="442" t="str">
        <f>상품Data!H7</f>
        <v>2000000003</v>
      </c>
      <c r="O11" s="208">
        <f>상품Data!S7</f>
        <v>9000</v>
      </c>
      <c r="P11" s="112">
        <v>2</v>
      </c>
      <c r="Q11" s="208">
        <f t="shared" si="0"/>
        <v>18000</v>
      </c>
      <c r="R11" s="349">
        <f>SUM(Q11:Q12)</f>
        <v>34000</v>
      </c>
      <c r="S11" s="220"/>
      <c r="T11" s="112" t="s">
        <v>309</v>
      </c>
      <c r="U11" s="106"/>
      <c r="V11" s="450"/>
      <c r="W11" s="245"/>
      <c r="X11" s="349">
        <f>SUM(W11:W12)</f>
        <v>0</v>
      </c>
      <c r="Y11" s="112"/>
      <c r="Z11" s="112"/>
      <c r="AA11" s="112"/>
      <c r="AB11" s="112" t="s">
        <v>309</v>
      </c>
      <c r="AC11" s="106"/>
      <c r="AD11" s="450"/>
      <c r="AE11" s="245"/>
      <c r="AF11" s="349">
        <f>SUM(AE11:AE12)</f>
        <v>0</v>
      </c>
      <c r="AG11" s="245">
        <f t="shared" si="1"/>
        <v>9000</v>
      </c>
      <c r="AH11" s="112" t="s">
        <v>287</v>
      </c>
      <c r="AI11" s="112" t="s">
        <v>199</v>
      </c>
      <c r="AJ11" s="112"/>
      <c r="AK11" s="208">
        <v>2500</v>
      </c>
      <c r="AL11" s="355">
        <f>SUM(AK11:AK12)</f>
        <v>5500</v>
      </c>
      <c r="AM11" s="346">
        <f>R11-X11-AF11+AL11</f>
        <v>39500</v>
      </c>
      <c r="AN11" s="220"/>
      <c r="AO11" s="112"/>
      <c r="AP11" s="112"/>
      <c r="AQ11" s="112" t="s">
        <v>359</v>
      </c>
      <c r="AR11" s="112"/>
      <c r="AS11" s="466">
        <f>AM11-AN11-AO11-AP11</f>
        <v>39500</v>
      </c>
      <c r="AT11" s="112"/>
      <c r="AU11" s="112"/>
      <c r="AV11" s="112" t="s">
        <v>98</v>
      </c>
      <c r="AW11" s="112"/>
      <c r="AX11" s="112" t="s">
        <v>98</v>
      </c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220"/>
      <c r="BM11" s="220"/>
      <c r="BN11" s="112"/>
      <c r="BO11" s="112"/>
      <c r="BP11" s="112" t="s">
        <v>359</v>
      </c>
      <c r="BQ11" s="112"/>
      <c r="BR11" s="112"/>
      <c r="BS11" s="112"/>
      <c r="BT11" s="112"/>
      <c r="BU11" s="112"/>
      <c r="BV11" s="112"/>
      <c r="BW11" s="261"/>
    </row>
    <row r="12" spans="1:75" ht="14.25" customHeight="1" thickBot="1">
      <c r="B12" s="362"/>
      <c r="C12" s="362"/>
      <c r="D12" s="370"/>
      <c r="E12" s="362"/>
      <c r="F12" s="360"/>
      <c r="G12" s="264" t="s">
        <v>155</v>
      </c>
      <c r="H12" s="113" t="s">
        <v>200</v>
      </c>
      <c r="I12" s="113" t="s">
        <v>334</v>
      </c>
      <c r="J12" s="113" t="s">
        <v>201</v>
      </c>
      <c r="K12" s="113"/>
      <c r="L12" s="113"/>
      <c r="M12" s="113" t="s">
        <v>346</v>
      </c>
      <c r="N12" s="443" t="str">
        <f>상품Data!H8</f>
        <v>2000000004</v>
      </c>
      <c r="O12" s="209">
        <f>상품Data!S8</f>
        <v>8000</v>
      </c>
      <c r="P12" s="113">
        <v>2</v>
      </c>
      <c r="Q12" s="209">
        <f t="shared" si="0"/>
        <v>16000</v>
      </c>
      <c r="R12" s="350"/>
      <c r="S12" s="221"/>
      <c r="T12" s="113" t="s">
        <v>309</v>
      </c>
      <c r="U12" s="107"/>
      <c r="V12" s="451"/>
      <c r="W12" s="246"/>
      <c r="X12" s="350"/>
      <c r="Y12" s="113"/>
      <c r="Z12" s="113"/>
      <c r="AA12" s="113"/>
      <c r="AB12" s="113" t="s">
        <v>309</v>
      </c>
      <c r="AC12" s="107"/>
      <c r="AD12" s="451"/>
      <c r="AE12" s="246"/>
      <c r="AF12" s="350"/>
      <c r="AG12" s="246">
        <f t="shared" si="1"/>
        <v>8000</v>
      </c>
      <c r="AH12" s="113" t="s">
        <v>287</v>
      </c>
      <c r="AI12" s="113" t="s">
        <v>200</v>
      </c>
      <c r="AJ12" s="113"/>
      <c r="AK12" s="291">
        <v>3000</v>
      </c>
      <c r="AL12" s="356"/>
      <c r="AM12" s="347">
        <f>R12-X12-AF12+AL12</f>
        <v>0</v>
      </c>
      <c r="AN12" s="221"/>
      <c r="AO12" s="113"/>
      <c r="AP12" s="113"/>
      <c r="AQ12" s="113"/>
      <c r="AR12" s="113"/>
      <c r="AS12" s="467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 t="s">
        <v>221</v>
      </c>
      <c r="BF12" s="113" t="s">
        <v>200</v>
      </c>
      <c r="BG12" s="113" t="s">
        <v>225</v>
      </c>
      <c r="BH12" s="113"/>
      <c r="BI12" s="113"/>
      <c r="BJ12" s="113" t="s">
        <v>228</v>
      </c>
      <c r="BK12" s="113"/>
      <c r="BL12" s="221"/>
      <c r="BM12" s="221"/>
      <c r="BN12" s="113"/>
      <c r="BO12" s="113"/>
      <c r="BP12" s="113"/>
      <c r="BQ12" s="113"/>
      <c r="BR12" s="113"/>
      <c r="BS12" s="113"/>
      <c r="BT12" s="113"/>
      <c r="BU12" s="113"/>
      <c r="BV12" s="113"/>
      <c r="BW12" s="262"/>
    </row>
    <row r="13" spans="1:75" ht="36.75" thickBot="1">
      <c r="B13" s="257">
        <v>3</v>
      </c>
      <c r="C13" s="257" t="s">
        <v>265</v>
      </c>
      <c r="D13" s="258" t="s">
        <v>155</v>
      </c>
      <c r="E13" s="257" t="s">
        <v>156</v>
      </c>
      <c r="F13" s="259"/>
      <c r="G13" s="257" t="s">
        <v>155</v>
      </c>
      <c r="H13" s="118" t="s">
        <v>200</v>
      </c>
      <c r="I13" s="118" t="s">
        <v>336</v>
      </c>
      <c r="J13" s="118" t="s">
        <v>201</v>
      </c>
      <c r="K13" s="118"/>
      <c r="L13" s="118"/>
      <c r="M13" s="118" t="s">
        <v>347</v>
      </c>
      <c r="N13" s="444" t="str">
        <f>상품Data!H9</f>
        <v>2000000005</v>
      </c>
      <c r="O13" s="210">
        <f>상품Data!S9</f>
        <v>15000</v>
      </c>
      <c r="P13" s="118">
        <v>1</v>
      </c>
      <c r="Q13" s="210">
        <f t="shared" si="0"/>
        <v>15000</v>
      </c>
      <c r="R13" s="266">
        <f>Q13</f>
        <v>15000</v>
      </c>
      <c r="S13" s="222" t="str">
        <f>프로모션Data!C5</f>
        <v>즉시할인</v>
      </c>
      <c r="T13" s="118">
        <f>프로모션Data!D5</f>
        <v>1234567890</v>
      </c>
      <c r="U13" s="108" t="str">
        <f>프로모션Data!E5</f>
        <v>[전체] 즉시할인_20% 정률 할인</v>
      </c>
      <c r="V13" s="452">
        <v>0.2</v>
      </c>
      <c r="W13" s="247">
        <f>ROUNDUP(Q13*V13, -2)</f>
        <v>3000</v>
      </c>
      <c r="X13" s="273">
        <f>W13</f>
        <v>3000</v>
      </c>
      <c r="Y13" s="118"/>
      <c r="Z13" s="118"/>
      <c r="AA13" s="118"/>
      <c r="AB13" s="118" t="s">
        <v>309</v>
      </c>
      <c r="AC13" s="108"/>
      <c r="AD13" s="452"/>
      <c r="AE13" s="247"/>
      <c r="AF13" s="260">
        <f>AE13</f>
        <v>0</v>
      </c>
      <c r="AG13" s="247">
        <f t="shared" si="1"/>
        <v>12000</v>
      </c>
      <c r="AH13" s="118" t="s">
        <v>287</v>
      </c>
      <c r="AI13" s="118" t="s">
        <v>200</v>
      </c>
      <c r="AJ13" s="118"/>
      <c r="AK13" s="292">
        <v>2500</v>
      </c>
      <c r="AL13" s="265">
        <f>AK13</f>
        <v>2500</v>
      </c>
      <c r="AM13" s="256">
        <f>R13-X13-AF13+AL13</f>
        <v>14500</v>
      </c>
      <c r="AN13" s="222"/>
      <c r="AO13" s="118"/>
      <c r="AP13" s="118"/>
      <c r="AQ13" s="118" t="s">
        <v>191</v>
      </c>
      <c r="AR13" s="118"/>
      <c r="AS13" s="468">
        <f>AM13-AN13-AO13-AP13</f>
        <v>14500</v>
      </c>
      <c r="AT13" s="118"/>
      <c r="AU13" s="118"/>
      <c r="AV13" s="118" t="s">
        <v>98</v>
      </c>
      <c r="AW13" s="118"/>
      <c r="AX13" s="118" t="s">
        <v>98</v>
      </c>
      <c r="AY13" s="118"/>
      <c r="AZ13" s="118"/>
      <c r="BA13" s="118"/>
      <c r="BB13" s="118"/>
      <c r="BC13" s="118"/>
      <c r="BD13" s="118"/>
      <c r="BE13" s="118" t="s">
        <v>220</v>
      </c>
      <c r="BF13" s="118" t="s">
        <v>200</v>
      </c>
      <c r="BG13" s="118" t="s">
        <v>222</v>
      </c>
      <c r="BH13" s="118"/>
      <c r="BI13" s="118"/>
      <c r="BJ13" s="118"/>
      <c r="BK13" s="118"/>
      <c r="BL13" s="222"/>
      <c r="BM13" s="222"/>
      <c r="BN13" s="118"/>
      <c r="BO13" s="118"/>
      <c r="BP13" s="118" t="s">
        <v>191</v>
      </c>
      <c r="BQ13" s="118"/>
      <c r="BR13" s="118"/>
      <c r="BS13" s="118"/>
      <c r="BT13" s="118"/>
      <c r="BU13" s="118"/>
      <c r="BV13" s="118"/>
      <c r="BW13" s="100"/>
    </row>
    <row r="14" spans="1:75" ht="36">
      <c r="B14" s="361">
        <v>4</v>
      </c>
      <c r="C14" s="361" t="s">
        <v>266</v>
      </c>
      <c r="D14" s="369" t="s">
        <v>155</v>
      </c>
      <c r="E14" s="361" t="s">
        <v>136</v>
      </c>
      <c r="F14" s="359"/>
      <c r="G14" s="263" t="s">
        <v>197</v>
      </c>
      <c r="H14" s="112" t="s">
        <v>199</v>
      </c>
      <c r="I14" s="112" t="s">
        <v>309</v>
      </c>
      <c r="J14" s="112" t="s">
        <v>201</v>
      </c>
      <c r="K14" s="112" t="s">
        <v>98</v>
      </c>
      <c r="L14" s="112"/>
      <c r="M14" s="112" t="s">
        <v>347</v>
      </c>
      <c r="N14" s="442" t="str">
        <f>상품Data!H10</f>
        <v>2000000006</v>
      </c>
      <c r="O14" s="208">
        <f>상품Data!S10</f>
        <v>11000</v>
      </c>
      <c r="P14" s="112">
        <v>1</v>
      </c>
      <c r="Q14" s="208">
        <f t="shared" si="0"/>
        <v>11000</v>
      </c>
      <c r="R14" s="349">
        <f>SUM(Q14:Q15)</f>
        <v>43000</v>
      </c>
      <c r="S14" s="220" t="str">
        <f>프로모션Data!C9</f>
        <v>기간한정 특가</v>
      </c>
      <c r="T14" s="112">
        <f>프로모션Data!D9</f>
        <v>1234567894</v>
      </c>
      <c r="U14" s="106" t="str">
        <f>프로모션Data!E9</f>
        <v>[전체] 기간한정_30% 정률 할인</v>
      </c>
      <c r="V14" s="450">
        <v>0.3</v>
      </c>
      <c r="W14" s="245">
        <f>ROUNDUP(Q14*V14, -2)</f>
        <v>3300</v>
      </c>
      <c r="X14" s="349">
        <f>SUM(W14:W15)</f>
        <v>3300</v>
      </c>
      <c r="Y14" s="112" t="str">
        <f>쿠폰Data!C9</f>
        <v>할인쿠폰</v>
      </c>
      <c r="Z14" s="112" t="str">
        <f>쿠폰Data!D9</f>
        <v>플러스</v>
      </c>
      <c r="AA14" s="112" t="str">
        <f>쿠폰Data!E9</f>
        <v>자사</v>
      </c>
      <c r="AB14" s="112" t="str">
        <f>쿠폰Data!F9</f>
        <v>A12345682</v>
      </c>
      <c r="AC14" s="106" t="str">
        <f>쿠폰Data!G9</f>
        <v>[플러스/자사/온라인] 20% 정률 할인 / 최대금액 제한없음</v>
      </c>
      <c r="AD14" s="450">
        <v>0.2</v>
      </c>
      <c r="AE14" s="245">
        <f>ROUNDUP((Q14-W14)*AD14, -2)</f>
        <v>1600</v>
      </c>
      <c r="AF14" s="349">
        <f>SUM(AE14:AE15)</f>
        <v>3200</v>
      </c>
      <c r="AG14" s="245">
        <f t="shared" si="1"/>
        <v>6100</v>
      </c>
      <c r="AH14" s="112" t="s">
        <v>203</v>
      </c>
      <c r="AI14" s="112" t="s">
        <v>199</v>
      </c>
      <c r="AJ14" s="112" t="s">
        <v>357</v>
      </c>
      <c r="AK14" s="208">
        <v>0</v>
      </c>
      <c r="AL14" s="355">
        <f>SUM(AK14:AK15)</f>
        <v>0</v>
      </c>
      <c r="AM14" s="346">
        <f>R14-X14-AF14+AL14</f>
        <v>36500</v>
      </c>
      <c r="AN14" s="220">
        <v>30000</v>
      </c>
      <c r="AO14" s="112"/>
      <c r="AP14" s="112"/>
      <c r="AQ14" s="112" t="s">
        <v>252</v>
      </c>
      <c r="AR14" s="112" t="s">
        <v>98</v>
      </c>
      <c r="AS14" s="466">
        <f>AM14-AN14-AO14-AP14</f>
        <v>6500</v>
      </c>
      <c r="AT14" s="112"/>
      <c r="AU14" s="112"/>
      <c r="AV14" s="112"/>
      <c r="AW14" s="112" t="s">
        <v>98</v>
      </c>
      <c r="AX14" s="112"/>
      <c r="AY14" s="112"/>
      <c r="AZ14" s="112"/>
      <c r="BA14" s="112"/>
      <c r="BB14" s="112"/>
      <c r="BC14" s="112"/>
      <c r="BD14" s="112"/>
      <c r="BE14" s="112" t="s">
        <v>220</v>
      </c>
      <c r="BF14" s="112" t="s">
        <v>199</v>
      </c>
      <c r="BG14" s="112" t="s">
        <v>224</v>
      </c>
      <c r="BH14" s="112"/>
      <c r="BI14" s="112"/>
      <c r="BJ14" s="112" t="s">
        <v>228</v>
      </c>
      <c r="BK14" s="112"/>
      <c r="BL14" s="220" t="s">
        <v>98</v>
      </c>
      <c r="BM14" s="220" t="s">
        <v>98</v>
      </c>
      <c r="BN14" s="112"/>
      <c r="BO14" s="112"/>
      <c r="BP14" s="112" t="s">
        <v>252</v>
      </c>
      <c r="BQ14" s="112"/>
      <c r="BR14" s="112"/>
      <c r="BS14" s="112"/>
      <c r="BT14" s="112"/>
      <c r="BU14" s="112"/>
      <c r="BV14" s="112"/>
      <c r="BW14" s="261"/>
    </row>
    <row r="15" spans="1:75" ht="24.75" thickBot="1">
      <c r="B15" s="362"/>
      <c r="C15" s="362"/>
      <c r="D15" s="370"/>
      <c r="E15" s="362"/>
      <c r="F15" s="360"/>
      <c r="G15" s="264" t="s">
        <v>197</v>
      </c>
      <c r="H15" s="113" t="s">
        <v>199</v>
      </c>
      <c r="I15" s="113" t="s">
        <v>309</v>
      </c>
      <c r="J15" s="113" t="s">
        <v>201</v>
      </c>
      <c r="K15" s="113" t="s">
        <v>98</v>
      </c>
      <c r="L15" s="113"/>
      <c r="M15" s="113" t="s">
        <v>346</v>
      </c>
      <c r="N15" s="443" t="str">
        <f>상품Data!H11</f>
        <v>2000000007</v>
      </c>
      <c r="O15" s="209">
        <f>상품Data!S11</f>
        <v>16000</v>
      </c>
      <c r="P15" s="113">
        <v>2</v>
      </c>
      <c r="Q15" s="209">
        <f t="shared" si="0"/>
        <v>32000</v>
      </c>
      <c r="R15" s="350"/>
      <c r="S15" s="221"/>
      <c r="T15" s="113" t="s">
        <v>309</v>
      </c>
      <c r="U15" s="107"/>
      <c r="V15" s="451"/>
      <c r="W15" s="246"/>
      <c r="X15" s="350"/>
      <c r="Y15" s="113" t="str">
        <f>쿠폰Data!C13</f>
        <v>제휴사 할인쿠폰</v>
      </c>
      <c r="Z15" s="113" t="str">
        <f>쿠폰Data!D13</f>
        <v>일반</v>
      </c>
      <c r="AA15" s="113" t="str">
        <f>쿠폰Data!E13</f>
        <v>자사</v>
      </c>
      <c r="AB15" s="113" t="str">
        <f>쿠폰Data!F13</f>
        <v>A12345686</v>
      </c>
      <c r="AC15" s="107" t="str">
        <f>쿠폰Data!G13</f>
        <v>[일반/자사/회원] 5% 정률 할인 / 최대 5,000원</v>
      </c>
      <c r="AD15" s="451">
        <v>0.05</v>
      </c>
      <c r="AE15" s="246">
        <f>ROUNDUP((Q15-W15)*AD15, -2)</f>
        <v>1600</v>
      </c>
      <c r="AF15" s="350"/>
      <c r="AG15" s="246">
        <f t="shared" si="1"/>
        <v>14400</v>
      </c>
      <c r="AH15" s="113"/>
      <c r="AI15" s="113"/>
      <c r="AJ15" s="113"/>
      <c r="AK15" s="209" t="s">
        <v>309</v>
      </c>
      <c r="AL15" s="356"/>
      <c r="AM15" s="347">
        <f>R15-X15-AF15+AL15</f>
        <v>0</v>
      </c>
      <c r="AN15" s="221"/>
      <c r="AO15" s="113"/>
      <c r="AP15" s="113"/>
      <c r="AQ15" s="113"/>
      <c r="AR15" s="113"/>
      <c r="AS15" s="467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221"/>
      <c r="BM15" s="221"/>
      <c r="BN15" s="113"/>
      <c r="BO15" s="113"/>
      <c r="BP15" s="113"/>
      <c r="BQ15" s="113"/>
      <c r="BR15" s="113"/>
      <c r="BS15" s="113"/>
      <c r="BT15" s="113"/>
      <c r="BU15" s="113"/>
      <c r="BV15" s="113"/>
      <c r="BW15" s="262"/>
    </row>
    <row r="16" spans="1:75" ht="24">
      <c r="B16" s="361">
        <v>5</v>
      </c>
      <c r="C16" s="361" t="s">
        <v>267</v>
      </c>
      <c r="D16" s="369" t="s">
        <v>155</v>
      </c>
      <c r="E16" s="361" t="s">
        <v>136</v>
      </c>
      <c r="F16" s="359"/>
      <c r="G16" s="116" t="s">
        <v>155</v>
      </c>
      <c r="H16" s="114" t="s">
        <v>200</v>
      </c>
      <c r="I16" s="114" t="s">
        <v>335</v>
      </c>
      <c r="J16" s="114" t="s">
        <v>201</v>
      </c>
      <c r="K16" s="114"/>
      <c r="L16" s="114"/>
      <c r="M16" s="114" t="s">
        <v>346</v>
      </c>
      <c r="N16" s="440" t="str">
        <f>상품Data!H12</f>
        <v>2000000008</v>
      </c>
      <c r="O16" s="206">
        <f>상품Data!S12</f>
        <v>14000</v>
      </c>
      <c r="P16" s="114">
        <v>1</v>
      </c>
      <c r="Q16" s="206">
        <f t="shared" si="0"/>
        <v>14000</v>
      </c>
      <c r="R16" s="349">
        <f>SUM(Q16:Q17)</f>
        <v>32000</v>
      </c>
      <c r="S16" s="218"/>
      <c r="T16" s="114" t="s">
        <v>309</v>
      </c>
      <c r="U16" s="104"/>
      <c r="V16" s="448"/>
      <c r="W16" s="243"/>
      <c r="X16" s="349">
        <f>SUM(W16:W17)</f>
        <v>0</v>
      </c>
      <c r="Y16" s="114" t="str">
        <f>쿠폰Data!C24</f>
        <v>품절보상쿠폰</v>
      </c>
      <c r="Z16" s="114" t="str">
        <f>쿠폰Data!D24</f>
        <v>일반</v>
      </c>
      <c r="AA16" s="114" t="str">
        <f>쿠폰Data!E24</f>
        <v>입점</v>
      </c>
      <c r="AB16" s="114" t="str">
        <f>쿠폰Data!F24</f>
        <v>A12345697</v>
      </c>
      <c r="AC16" s="104" t="str">
        <f>쿠폰Data!G24</f>
        <v>[입점] 품절보상 / 20% 정률 할인 / 1개 단품만 적용 가능</v>
      </c>
      <c r="AD16" s="448">
        <v>0.2</v>
      </c>
      <c r="AE16" s="243">
        <f>ROUNDUP((Q16-W16)*AD16, -2)</f>
        <v>2800</v>
      </c>
      <c r="AF16" s="349">
        <f>SUM(AE16:AE17)</f>
        <v>2800</v>
      </c>
      <c r="AG16" s="243">
        <f t="shared" si="1"/>
        <v>11200</v>
      </c>
      <c r="AH16" s="114" t="s">
        <v>287</v>
      </c>
      <c r="AI16" s="114" t="s">
        <v>200</v>
      </c>
      <c r="AJ16" s="114"/>
      <c r="AK16" s="206">
        <v>3000</v>
      </c>
      <c r="AL16" s="355">
        <f>SUM(AK16:AK17)</f>
        <v>5500</v>
      </c>
      <c r="AM16" s="346">
        <f>R16-X16-AF16+AL16</f>
        <v>34700</v>
      </c>
      <c r="AN16" s="218"/>
      <c r="AO16" s="114"/>
      <c r="AP16" s="114"/>
      <c r="AQ16" s="114" t="s">
        <v>360</v>
      </c>
      <c r="AR16" s="114"/>
      <c r="AS16" s="464">
        <f>AM16-AN16-AO16-AP16</f>
        <v>34700</v>
      </c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 t="s">
        <v>220</v>
      </c>
      <c r="BF16" s="114" t="s">
        <v>200</v>
      </c>
      <c r="BG16" s="114" t="s">
        <v>223</v>
      </c>
      <c r="BH16" s="114"/>
      <c r="BI16" s="114" t="s">
        <v>98</v>
      </c>
      <c r="BJ16" s="114"/>
      <c r="BK16" s="114"/>
      <c r="BL16" s="218"/>
      <c r="BM16" s="218"/>
      <c r="BN16" s="114"/>
      <c r="BO16" s="114"/>
      <c r="BP16" s="114" t="s">
        <v>360</v>
      </c>
      <c r="BQ16" s="114"/>
      <c r="BR16" s="114"/>
      <c r="BS16" s="114"/>
      <c r="BT16" s="114"/>
      <c r="BU16" s="114"/>
      <c r="BV16" s="114"/>
      <c r="BW16" s="101"/>
    </row>
    <row r="17" spans="2:75" ht="48.75" thickBot="1">
      <c r="B17" s="362"/>
      <c r="C17" s="362"/>
      <c r="D17" s="370"/>
      <c r="E17" s="362"/>
      <c r="F17" s="360"/>
      <c r="G17" s="117" t="s">
        <v>198</v>
      </c>
      <c r="H17" s="115" t="s">
        <v>199</v>
      </c>
      <c r="I17" s="115" t="s">
        <v>309</v>
      </c>
      <c r="J17" s="115" t="s">
        <v>201</v>
      </c>
      <c r="K17" s="115" t="s">
        <v>98</v>
      </c>
      <c r="L17" s="115"/>
      <c r="M17" s="115" t="s">
        <v>346</v>
      </c>
      <c r="N17" s="441" t="str">
        <f>상품Data!H13</f>
        <v>2000000009</v>
      </c>
      <c r="O17" s="207">
        <f>상품Data!S13</f>
        <v>18000</v>
      </c>
      <c r="P17" s="115">
        <v>1</v>
      </c>
      <c r="Q17" s="207">
        <f t="shared" si="0"/>
        <v>18000</v>
      </c>
      <c r="R17" s="350"/>
      <c r="S17" s="219" t="str">
        <f>프로모션Data!C15</f>
        <v>상품 사은품 지급</v>
      </c>
      <c r="T17" s="115">
        <f>프로모션Data!D15</f>
        <v>1234567900</v>
      </c>
      <c r="U17" s="105" t="str">
        <f>프로모션Data!E15</f>
        <v>[전체] 상품 사은품_사은품명(사은품번호)</v>
      </c>
      <c r="V17" s="449"/>
      <c r="W17" s="244"/>
      <c r="X17" s="350"/>
      <c r="Y17" s="115"/>
      <c r="Z17" s="115"/>
      <c r="AA17" s="115"/>
      <c r="AB17" s="115"/>
      <c r="AC17" s="105"/>
      <c r="AD17" s="449"/>
      <c r="AE17" s="244"/>
      <c r="AF17" s="350"/>
      <c r="AG17" s="244">
        <f t="shared" si="1"/>
        <v>18000</v>
      </c>
      <c r="AH17" s="115" t="s">
        <v>287</v>
      </c>
      <c r="AI17" s="115" t="s">
        <v>199</v>
      </c>
      <c r="AJ17" s="115"/>
      <c r="AK17" s="207">
        <v>2500</v>
      </c>
      <c r="AL17" s="356"/>
      <c r="AM17" s="347">
        <f>R17-X17-AF17+AL17</f>
        <v>0</v>
      </c>
      <c r="AN17" s="219"/>
      <c r="AO17" s="115"/>
      <c r="AP17" s="115"/>
      <c r="AQ17" s="115"/>
      <c r="AR17" s="115"/>
      <c r="AS17" s="46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 t="s">
        <v>220</v>
      </c>
      <c r="BF17" s="115" t="s">
        <v>199</v>
      </c>
      <c r="BG17" s="115" t="s">
        <v>227</v>
      </c>
      <c r="BH17" s="115"/>
      <c r="BI17" s="115"/>
      <c r="BJ17" s="115" t="s">
        <v>252</v>
      </c>
      <c r="BK17" s="115"/>
      <c r="BL17" s="219"/>
      <c r="BM17" s="219"/>
      <c r="BN17" s="115"/>
      <c r="BO17" s="115"/>
      <c r="BP17" s="115"/>
      <c r="BQ17" s="115"/>
      <c r="BR17" s="115"/>
      <c r="BS17" s="115"/>
      <c r="BT17" s="115"/>
      <c r="BU17" s="115"/>
      <c r="BV17" s="115"/>
      <c r="BW17" s="99"/>
    </row>
    <row r="18" spans="2:75" ht="24">
      <c r="B18" s="361">
        <v>6</v>
      </c>
      <c r="C18" s="361" t="s">
        <v>268</v>
      </c>
      <c r="D18" s="369" t="s">
        <v>155</v>
      </c>
      <c r="E18" s="361" t="s">
        <v>136</v>
      </c>
      <c r="F18" s="359"/>
      <c r="G18" s="263" t="s">
        <v>155</v>
      </c>
      <c r="H18" s="112" t="s">
        <v>200</v>
      </c>
      <c r="I18" s="112" t="s">
        <v>336</v>
      </c>
      <c r="J18" s="112" t="s">
        <v>201</v>
      </c>
      <c r="K18" s="112"/>
      <c r="L18" s="112"/>
      <c r="M18" s="112" t="s">
        <v>346</v>
      </c>
      <c r="N18" s="442" t="str">
        <f>상품Data!H14</f>
        <v>2000000010</v>
      </c>
      <c r="O18" s="208">
        <f>상품Data!S14</f>
        <v>14000</v>
      </c>
      <c r="P18" s="112">
        <v>1</v>
      </c>
      <c r="Q18" s="208">
        <f t="shared" si="0"/>
        <v>14000</v>
      </c>
      <c r="R18" s="349">
        <f>SUM(Q18:Q19)</f>
        <v>120000</v>
      </c>
      <c r="S18" s="220"/>
      <c r="T18" s="112"/>
      <c r="U18" s="106"/>
      <c r="V18" s="450"/>
      <c r="W18" s="245"/>
      <c r="X18" s="349">
        <f>SUM(W18:W19)</f>
        <v>10600</v>
      </c>
      <c r="Y18" s="112" t="str">
        <f>쿠폰Data!C7</f>
        <v>할인쿠폰</v>
      </c>
      <c r="Z18" s="112" t="str">
        <f>쿠폰Data!D7</f>
        <v>일반</v>
      </c>
      <c r="AA18" s="112" t="str">
        <f>쿠폰Data!E7</f>
        <v>입점</v>
      </c>
      <c r="AB18" s="112" t="str">
        <f>쿠폰Data!F7</f>
        <v>A12345680</v>
      </c>
      <c r="AC18" s="106" t="str">
        <f>쿠폰Data!G7</f>
        <v>[일반/입점/온라인] 30% 정률 할인 / 최대 15,000원</v>
      </c>
      <c r="AD18" s="450">
        <v>0.3</v>
      </c>
      <c r="AE18" s="455">
        <f>ROUNDUP((Q18-W18)*AD18, -2)</f>
        <v>4200</v>
      </c>
      <c r="AF18" s="349">
        <f>SUM(AE18:AE19)</f>
        <v>4200</v>
      </c>
      <c r="AG18" s="294">
        <f t="shared" si="1"/>
        <v>9800</v>
      </c>
      <c r="AH18" s="112" t="s">
        <v>287</v>
      </c>
      <c r="AI18" s="112" t="s">
        <v>200</v>
      </c>
      <c r="AJ18" s="112"/>
      <c r="AK18" s="208">
        <v>2500</v>
      </c>
      <c r="AL18" s="355">
        <f>SUM(AK18:AK19)</f>
        <v>2500</v>
      </c>
      <c r="AM18" s="346">
        <f>R18-X18-AF18+AL18</f>
        <v>107700</v>
      </c>
      <c r="AN18" s="220">
        <v>7700</v>
      </c>
      <c r="AO18" s="112"/>
      <c r="AP18" s="112"/>
      <c r="AQ18" s="112" t="s">
        <v>191</v>
      </c>
      <c r="AR18" s="112"/>
      <c r="AS18" s="466">
        <f>AM18-AN18-AO18-AP18</f>
        <v>100000</v>
      </c>
      <c r="AT18" s="112"/>
      <c r="AU18" s="112"/>
      <c r="AV18" s="112" t="s">
        <v>529</v>
      </c>
      <c r="AW18" s="112" t="s">
        <v>676</v>
      </c>
      <c r="AX18" s="112"/>
      <c r="AY18" s="112"/>
      <c r="AZ18" s="112"/>
      <c r="BA18" s="112"/>
      <c r="BB18" s="112"/>
      <c r="BC18" s="112"/>
      <c r="BD18" s="112"/>
      <c r="BE18" s="112" t="s">
        <v>530</v>
      </c>
      <c r="BF18" s="112" t="s">
        <v>200</v>
      </c>
      <c r="BG18" s="112" t="s">
        <v>222</v>
      </c>
      <c r="BH18" s="112"/>
      <c r="BI18" s="112"/>
      <c r="BJ18" s="112"/>
      <c r="BK18" s="112"/>
      <c r="BL18" s="220" t="s">
        <v>98</v>
      </c>
      <c r="BM18" s="220" t="s">
        <v>98</v>
      </c>
      <c r="BN18" s="112"/>
      <c r="BO18" s="112"/>
      <c r="BP18" s="112" t="s">
        <v>191</v>
      </c>
      <c r="BQ18" s="112"/>
      <c r="BR18" s="112"/>
      <c r="BS18" s="112"/>
      <c r="BT18" s="112"/>
      <c r="BU18" s="112"/>
      <c r="BV18" s="112"/>
      <c r="BW18" s="261"/>
    </row>
    <row r="19" spans="2:75" ht="60.75" thickBot="1">
      <c r="B19" s="362"/>
      <c r="C19" s="362"/>
      <c r="D19" s="370"/>
      <c r="E19" s="362"/>
      <c r="F19" s="360"/>
      <c r="G19" s="264" t="s">
        <v>155</v>
      </c>
      <c r="H19" s="113" t="s">
        <v>200</v>
      </c>
      <c r="I19" s="113" t="s">
        <v>335</v>
      </c>
      <c r="J19" s="113" t="s">
        <v>201</v>
      </c>
      <c r="K19" s="113"/>
      <c r="L19" s="113" t="s">
        <v>98</v>
      </c>
      <c r="M19" s="113" t="s">
        <v>346</v>
      </c>
      <c r="N19" s="443" t="str">
        <f>상품Data!H15</f>
        <v>2000000011</v>
      </c>
      <c r="O19" s="209">
        <f>상품Data!S15</f>
        <v>53000</v>
      </c>
      <c r="P19" s="113">
        <v>2</v>
      </c>
      <c r="Q19" s="209">
        <f t="shared" si="0"/>
        <v>106000</v>
      </c>
      <c r="R19" s="350"/>
      <c r="S19" s="221" t="str">
        <f>프로모션Data!C13</f>
        <v>다족구매 할인</v>
      </c>
      <c r="T19" s="113">
        <f>프로모션Data!D13</f>
        <v>1234567898</v>
      </c>
      <c r="U19" s="107" t="str">
        <f>프로모션Data!E13</f>
        <v>[온라인] 다족구매_2족 10%, 3족 20%, 4족 이상 30%</v>
      </c>
      <c r="V19" s="451">
        <v>0.1</v>
      </c>
      <c r="W19" s="246">
        <f>ROUNDUP(Q19*V19, -2)</f>
        <v>10600</v>
      </c>
      <c r="X19" s="350"/>
      <c r="Y19" s="113"/>
      <c r="Z19" s="113"/>
      <c r="AA19" s="113"/>
      <c r="AB19" s="113"/>
      <c r="AC19" s="107"/>
      <c r="AD19" s="451"/>
      <c r="AE19" s="246"/>
      <c r="AF19" s="350"/>
      <c r="AG19" s="246">
        <f t="shared" si="1"/>
        <v>42400</v>
      </c>
      <c r="AH19" s="113" t="s">
        <v>287</v>
      </c>
      <c r="AI19" s="113" t="s">
        <v>200</v>
      </c>
      <c r="AJ19" s="113" t="s">
        <v>283</v>
      </c>
      <c r="AK19" s="209">
        <v>0</v>
      </c>
      <c r="AL19" s="356"/>
      <c r="AM19" s="347">
        <f>R19-X19-AF19+AL19</f>
        <v>0</v>
      </c>
      <c r="AN19" s="221"/>
      <c r="AO19" s="113"/>
      <c r="AP19" s="113"/>
      <c r="AQ19" s="113"/>
      <c r="AR19" s="113"/>
      <c r="AS19" s="467"/>
      <c r="AT19" s="113"/>
      <c r="AU19" s="113"/>
      <c r="AV19" s="113"/>
      <c r="AW19" s="295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3"/>
      <c r="BK19" s="113"/>
      <c r="BL19" s="221"/>
      <c r="BM19" s="221"/>
      <c r="BN19" s="113"/>
      <c r="BO19" s="113"/>
      <c r="BP19" s="113"/>
      <c r="BQ19" s="113"/>
      <c r="BR19" s="113"/>
      <c r="BS19" s="113"/>
      <c r="BT19" s="113"/>
      <c r="BU19" s="113"/>
      <c r="BV19" s="113"/>
      <c r="BW19" s="262"/>
    </row>
    <row r="20" spans="2:75">
      <c r="B20" s="361">
        <v>7</v>
      </c>
      <c r="C20" s="361" t="s">
        <v>269</v>
      </c>
      <c r="D20" s="369" t="s">
        <v>155</v>
      </c>
      <c r="E20" s="361" t="s">
        <v>157</v>
      </c>
      <c r="F20" s="359"/>
      <c r="G20" s="116" t="s">
        <v>197</v>
      </c>
      <c r="H20" s="114" t="s">
        <v>199</v>
      </c>
      <c r="I20" s="114" t="s">
        <v>309</v>
      </c>
      <c r="J20" s="114" t="s">
        <v>201</v>
      </c>
      <c r="K20" s="114"/>
      <c r="L20" s="114"/>
      <c r="M20" s="114" t="s">
        <v>346</v>
      </c>
      <c r="N20" s="440" t="str">
        <f>상품Data!H16</f>
        <v>1000000001</v>
      </c>
      <c r="O20" s="206">
        <f>상품Data!S16</f>
        <v>46000</v>
      </c>
      <c r="P20" s="114">
        <v>1</v>
      </c>
      <c r="Q20" s="206">
        <f t="shared" si="0"/>
        <v>46000</v>
      </c>
      <c r="R20" s="349">
        <f>SUM(Q20:Q21)</f>
        <v>58000</v>
      </c>
      <c r="S20" s="218"/>
      <c r="T20" s="114"/>
      <c r="U20" s="104"/>
      <c r="V20" s="448"/>
      <c r="W20" s="243">
        <f>Q20*V20</f>
        <v>0</v>
      </c>
      <c r="X20" s="349">
        <f>SUM(W20:W21)</f>
        <v>0</v>
      </c>
      <c r="Y20" s="114"/>
      <c r="Z20" s="114"/>
      <c r="AA20" s="114"/>
      <c r="AB20" s="114" t="s">
        <v>309</v>
      </c>
      <c r="AC20" s="104"/>
      <c r="AD20" s="448"/>
      <c r="AE20" s="243"/>
      <c r="AF20" s="349">
        <f>SUM(AE20:AE21)</f>
        <v>0</v>
      </c>
      <c r="AG20" s="243">
        <f t="shared" si="1"/>
        <v>46000</v>
      </c>
      <c r="AH20" s="114"/>
      <c r="AI20" s="114"/>
      <c r="AJ20" s="114"/>
      <c r="AK20" s="206" t="s">
        <v>309</v>
      </c>
      <c r="AL20" s="355">
        <f>SUM(AK20:AK21)</f>
        <v>0</v>
      </c>
      <c r="AM20" s="346">
        <f>R20-X20-AF20+AL20</f>
        <v>58000</v>
      </c>
      <c r="AN20" s="218">
        <v>58000</v>
      </c>
      <c r="AO20" s="114"/>
      <c r="AP20" s="114"/>
      <c r="AQ20" s="114"/>
      <c r="AR20" s="114"/>
      <c r="AS20" s="464">
        <f>AM20-AN20-AO20-AP20</f>
        <v>0</v>
      </c>
      <c r="AT20" s="114"/>
      <c r="AU20" s="114"/>
      <c r="AV20" s="114"/>
      <c r="AW20" s="114" t="s">
        <v>529</v>
      </c>
      <c r="AX20" s="114"/>
      <c r="AY20" s="114"/>
      <c r="AZ20" s="114"/>
      <c r="BA20" s="114"/>
      <c r="BB20" s="114"/>
      <c r="BC20" s="114"/>
      <c r="BD20" s="114"/>
      <c r="BE20" s="114" t="s">
        <v>532</v>
      </c>
      <c r="BF20" s="114" t="s">
        <v>199</v>
      </c>
      <c r="BG20" s="114" t="s">
        <v>226</v>
      </c>
      <c r="BH20" s="114"/>
      <c r="BI20" s="114"/>
      <c r="BJ20" s="114" t="s">
        <v>191</v>
      </c>
      <c r="BK20" s="114"/>
      <c r="BL20" s="218" t="s">
        <v>98</v>
      </c>
      <c r="BM20" s="218" t="s">
        <v>98</v>
      </c>
      <c r="BN20" s="114"/>
      <c r="BO20" s="114"/>
      <c r="BP20" s="114"/>
      <c r="BQ20" s="114"/>
      <c r="BR20" s="114"/>
      <c r="BS20" s="114"/>
      <c r="BT20" s="114"/>
      <c r="BU20" s="114"/>
      <c r="BV20" s="114"/>
      <c r="BW20" s="101"/>
    </row>
    <row r="21" spans="2:75" ht="12.75" thickBot="1">
      <c r="B21" s="362"/>
      <c r="C21" s="362"/>
      <c r="D21" s="370"/>
      <c r="E21" s="362"/>
      <c r="F21" s="360"/>
      <c r="G21" s="117" t="s">
        <v>198</v>
      </c>
      <c r="H21" s="115" t="s">
        <v>199</v>
      </c>
      <c r="I21" s="115" t="s">
        <v>309</v>
      </c>
      <c r="J21" s="115" t="s">
        <v>201</v>
      </c>
      <c r="K21" s="115"/>
      <c r="L21" s="115" t="s">
        <v>98</v>
      </c>
      <c r="M21" s="115" t="s">
        <v>347</v>
      </c>
      <c r="N21" s="441" t="str">
        <f>상품Data!H17</f>
        <v>1000000002</v>
      </c>
      <c r="O21" s="207">
        <f>상품Data!S17</f>
        <v>6000</v>
      </c>
      <c r="P21" s="115">
        <v>2</v>
      </c>
      <c r="Q21" s="207">
        <f t="shared" si="0"/>
        <v>12000</v>
      </c>
      <c r="R21" s="350"/>
      <c r="S21" s="219"/>
      <c r="T21" s="115" t="s">
        <v>309</v>
      </c>
      <c r="U21" s="105"/>
      <c r="V21" s="449"/>
      <c r="W21" s="244"/>
      <c r="X21" s="350"/>
      <c r="Y21" s="115"/>
      <c r="Z21" s="115"/>
      <c r="AA21" s="115"/>
      <c r="AB21" s="115"/>
      <c r="AC21" s="105"/>
      <c r="AD21" s="449"/>
      <c r="AE21" s="244"/>
      <c r="AF21" s="350"/>
      <c r="AG21" s="244">
        <f t="shared" si="1"/>
        <v>6000</v>
      </c>
      <c r="AH21" s="115" t="s">
        <v>356</v>
      </c>
      <c r="AI21" s="115" t="s">
        <v>199</v>
      </c>
      <c r="AJ21" s="115" t="s">
        <v>283</v>
      </c>
      <c r="AK21" s="207">
        <v>0</v>
      </c>
      <c r="AL21" s="356"/>
      <c r="AM21" s="347">
        <f>R21-X21-AF21+AL21</f>
        <v>0</v>
      </c>
      <c r="AN21" s="219"/>
      <c r="AO21" s="115"/>
      <c r="AP21" s="115"/>
      <c r="AQ21" s="115"/>
      <c r="AR21" s="115"/>
      <c r="AS21" s="46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 t="s">
        <v>531</v>
      </c>
      <c r="BG21" s="115"/>
      <c r="BH21" s="115"/>
      <c r="BI21" s="115"/>
      <c r="BJ21" s="115"/>
      <c r="BK21" s="115"/>
      <c r="BL21" s="219"/>
      <c r="BM21" s="219"/>
      <c r="BN21" s="115"/>
      <c r="BO21" s="115"/>
      <c r="BP21" s="115"/>
      <c r="BQ21" s="115"/>
      <c r="BR21" s="115"/>
      <c r="BS21" s="115"/>
      <c r="BT21" s="115"/>
      <c r="BU21" s="115"/>
      <c r="BV21" s="115"/>
      <c r="BW21" s="99"/>
    </row>
    <row r="22" spans="2:75" ht="24">
      <c r="B22" s="361">
        <v>8</v>
      </c>
      <c r="C22" s="361" t="s">
        <v>270</v>
      </c>
      <c r="D22" s="369" t="s">
        <v>155</v>
      </c>
      <c r="E22" s="361" t="s">
        <v>157</v>
      </c>
      <c r="F22" s="359"/>
      <c r="G22" s="263" t="s">
        <v>155</v>
      </c>
      <c r="H22" s="112" t="s">
        <v>200</v>
      </c>
      <c r="I22" s="112" t="s">
        <v>336</v>
      </c>
      <c r="J22" s="112" t="s">
        <v>201</v>
      </c>
      <c r="K22" s="112"/>
      <c r="L22" s="112"/>
      <c r="M22" s="112" t="s">
        <v>346</v>
      </c>
      <c r="N22" s="442" t="str">
        <f>상품Data!H18</f>
        <v>2000000012</v>
      </c>
      <c r="O22" s="208">
        <f>상품Data!S18</f>
        <v>66000</v>
      </c>
      <c r="P22" s="112">
        <v>1</v>
      </c>
      <c r="Q22" s="208">
        <f t="shared" si="0"/>
        <v>66000</v>
      </c>
      <c r="R22" s="349">
        <f>SUM(Q22:Q23)</f>
        <v>84000</v>
      </c>
      <c r="S22" s="220" t="str">
        <f>프로모션Data!C8</f>
        <v>즉시할인</v>
      </c>
      <c r="T22" s="112">
        <f>프로모션Data!D8</f>
        <v>1234567893</v>
      </c>
      <c r="U22" s="106" t="str">
        <f>프로모션Data!E8</f>
        <v>[임직원] 임직원 할인_50% 정률 할인</v>
      </c>
      <c r="V22" s="450">
        <v>0.5</v>
      </c>
      <c r="W22" s="245">
        <f>ROUNDUP(Q22*V22, -2)</f>
        <v>33000</v>
      </c>
      <c r="X22" s="349">
        <f>SUM(W22:W23)</f>
        <v>42000</v>
      </c>
      <c r="Y22" s="112"/>
      <c r="Z22" s="112"/>
      <c r="AA22" s="112"/>
      <c r="AB22" s="112"/>
      <c r="AC22" s="106"/>
      <c r="AD22" s="450"/>
      <c r="AE22" s="245"/>
      <c r="AF22" s="349">
        <f>SUM(AE22:AE23)</f>
        <v>0</v>
      </c>
      <c r="AG22" s="245">
        <f t="shared" si="1"/>
        <v>33000</v>
      </c>
      <c r="AH22" s="112" t="s">
        <v>287</v>
      </c>
      <c r="AI22" s="112" t="s">
        <v>200</v>
      </c>
      <c r="AJ22" s="112" t="s">
        <v>358</v>
      </c>
      <c r="AK22" s="208">
        <v>0</v>
      </c>
      <c r="AL22" s="355">
        <f>SUM(AK22:AK23)</f>
        <v>2500</v>
      </c>
      <c r="AM22" s="346">
        <f>R22-X22-AF22+AL22</f>
        <v>44500</v>
      </c>
      <c r="AN22" s="220"/>
      <c r="AO22" s="112"/>
      <c r="AP22" s="112"/>
      <c r="AQ22" s="112" t="s">
        <v>681</v>
      </c>
      <c r="AR22" s="112" t="s">
        <v>98</v>
      </c>
      <c r="AS22" s="466">
        <f>AM22-AN22-AO22-AP22</f>
        <v>44500</v>
      </c>
      <c r="AT22" s="112"/>
      <c r="AU22" s="112"/>
      <c r="AV22" s="112"/>
      <c r="AW22" s="112" t="s">
        <v>98</v>
      </c>
      <c r="AX22" s="112"/>
      <c r="AY22" s="112"/>
      <c r="AZ22" s="112"/>
      <c r="BA22" s="112"/>
      <c r="BB22" s="112"/>
      <c r="BC22" s="112"/>
      <c r="BD22" s="112"/>
      <c r="BE22" s="112" t="s">
        <v>220</v>
      </c>
      <c r="BF22" s="112" t="s">
        <v>200</v>
      </c>
      <c r="BG22" s="112" t="s">
        <v>227</v>
      </c>
      <c r="BH22" s="112"/>
      <c r="BI22" s="112"/>
      <c r="BJ22" s="112" t="s">
        <v>252</v>
      </c>
      <c r="BK22" s="112"/>
      <c r="BL22" s="220"/>
      <c r="BM22" s="220"/>
      <c r="BN22" s="112"/>
      <c r="BO22" s="112"/>
      <c r="BP22" s="112" t="s">
        <v>252</v>
      </c>
      <c r="BQ22" s="112"/>
      <c r="BR22" s="112"/>
      <c r="BS22" s="112"/>
      <c r="BT22" s="112"/>
      <c r="BU22" s="112"/>
      <c r="BV22" s="112"/>
      <c r="BW22" s="261"/>
    </row>
    <row r="23" spans="2:75" ht="24.75" thickBot="1">
      <c r="B23" s="362"/>
      <c r="C23" s="362"/>
      <c r="D23" s="370"/>
      <c r="E23" s="362"/>
      <c r="F23" s="360"/>
      <c r="G23" s="264" t="s">
        <v>197</v>
      </c>
      <c r="H23" s="113" t="s">
        <v>199</v>
      </c>
      <c r="I23" s="113" t="s">
        <v>309</v>
      </c>
      <c r="J23" s="113" t="s">
        <v>201</v>
      </c>
      <c r="K23" s="113" t="s">
        <v>98</v>
      </c>
      <c r="L23" s="113"/>
      <c r="M23" s="113" t="s">
        <v>346</v>
      </c>
      <c r="N23" s="443" t="str">
        <f>상품Data!H19</f>
        <v>1000000003</v>
      </c>
      <c r="O23" s="209">
        <f>상품Data!S19</f>
        <v>6000</v>
      </c>
      <c r="P23" s="113">
        <v>3</v>
      </c>
      <c r="Q23" s="209">
        <f t="shared" si="0"/>
        <v>18000</v>
      </c>
      <c r="R23" s="350"/>
      <c r="S23" s="221" t="str">
        <f>프로모션Data!C8</f>
        <v>즉시할인</v>
      </c>
      <c r="T23" s="113">
        <f>프로모션Data!D8</f>
        <v>1234567893</v>
      </c>
      <c r="U23" s="107" t="str">
        <f>프로모션Data!E8</f>
        <v>[임직원] 임직원 할인_50% 정률 할인</v>
      </c>
      <c r="V23" s="451">
        <v>0.5</v>
      </c>
      <c r="W23" s="246">
        <f>ROUNDUP(Q23*V23, -2)</f>
        <v>9000</v>
      </c>
      <c r="X23" s="350"/>
      <c r="Y23" s="113"/>
      <c r="Z23" s="113"/>
      <c r="AA23" s="113"/>
      <c r="AB23" s="113" t="s">
        <v>309</v>
      </c>
      <c r="AC23" s="107"/>
      <c r="AD23" s="451"/>
      <c r="AE23" s="246"/>
      <c r="AF23" s="350"/>
      <c r="AG23" s="246">
        <f t="shared" si="1"/>
        <v>-3000</v>
      </c>
      <c r="AH23" s="113" t="s">
        <v>287</v>
      </c>
      <c r="AI23" s="113" t="s">
        <v>199</v>
      </c>
      <c r="AJ23" s="113"/>
      <c r="AK23" s="209">
        <v>2500</v>
      </c>
      <c r="AL23" s="356"/>
      <c r="AM23" s="347">
        <f>R23-X23-AF23+AL23</f>
        <v>0</v>
      </c>
      <c r="AN23" s="221"/>
      <c r="AO23" s="113"/>
      <c r="AP23" s="113"/>
      <c r="AQ23" s="113"/>
      <c r="AR23" s="113"/>
      <c r="AS23" s="467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 t="s">
        <v>220</v>
      </c>
      <c r="BF23" s="113" t="s">
        <v>199</v>
      </c>
      <c r="BG23" s="113" t="s">
        <v>223</v>
      </c>
      <c r="BH23" s="113"/>
      <c r="BI23" s="113" t="s">
        <v>98</v>
      </c>
      <c r="BJ23" s="113" t="s">
        <v>252</v>
      </c>
      <c r="BK23" s="113"/>
      <c r="BL23" s="221"/>
      <c r="BM23" s="221"/>
      <c r="BN23" s="113"/>
      <c r="BO23" s="113"/>
      <c r="BP23" s="113"/>
      <c r="BQ23" s="113"/>
      <c r="BR23" s="113"/>
      <c r="BS23" s="113"/>
      <c r="BT23" s="113"/>
      <c r="BU23" s="113"/>
      <c r="BV23" s="113"/>
      <c r="BW23" s="262"/>
    </row>
    <row r="24" spans="2:75" ht="36.75" thickBot="1">
      <c r="B24" s="257">
        <v>9</v>
      </c>
      <c r="C24" s="257" t="s">
        <v>273</v>
      </c>
      <c r="D24" s="258" t="s">
        <v>155</v>
      </c>
      <c r="E24" s="257" t="s">
        <v>157</v>
      </c>
      <c r="F24" s="259"/>
      <c r="G24" s="257" t="s">
        <v>155</v>
      </c>
      <c r="H24" s="118" t="s">
        <v>200</v>
      </c>
      <c r="I24" s="118" t="s">
        <v>334</v>
      </c>
      <c r="J24" s="118" t="s">
        <v>201</v>
      </c>
      <c r="K24" s="118"/>
      <c r="L24" s="118"/>
      <c r="M24" s="118" t="s">
        <v>346</v>
      </c>
      <c r="N24" s="444" t="str">
        <f>상품Data!H20</f>
        <v>2000000013</v>
      </c>
      <c r="O24" s="210">
        <f>상품Data!S20</f>
        <v>70000</v>
      </c>
      <c r="P24" s="118">
        <v>1</v>
      </c>
      <c r="Q24" s="210">
        <f t="shared" si="0"/>
        <v>70000</v>
      </c>
      <c r="R24" s="266">
        <f>Q24</f>
        <v>70000</v>
      </c>
      <c r="S24" s="222" t="str">
        <f>프로모션Data!C8</f>
        <v>즉시할인</v>
      </c>
      <c r="T24" s="118">
        <f>프로모션Data!D8</f>
        <v>1234567893</v>
      </c>
      <c r="U24" s="108" t="str">
        <f>프로모션Data!E8</f>
        <v>[임직원] 임직원 할인_50% 정률 할인</v>
      </c>
      <c r="V24" s="452">
        <v>0.5</v>
      </c>
      <c r="W24" s="247">
        <f>ROUNDUP(Q24*V24, -2)</f>
        <v>35000</v>
      </c>
      <c r="X24" s="260">
        <f>W24</f>
        <v>35000</v>
      </c>
      <c r="Y24" s="118"/>
      <c r="Z24" s="118"/>
      <c r="AA24" s="118"/>
      <c r="AB24" s="118"/>
      <c r="AC24" s="108"/>
      <c r="AD24" s="452"/>
      <c r="AE24" s="247"/>
      <c r="AF24" s="260">
        <f>AE24</f>
        <v>0</v>
      </c>
      <c r="AG24" s="247">
        <f t="shared" si="1"/>
        <v>35000</v>
      </c>
      <c r="AH24" s="118" t="s">
        <v>287</v>
      </c>
      <c r="AI24" s="118" t="s">
        <v>200</v>
      </c>
      <c r="AJ24" s="118" t="s">
        <v>358</v>
      </c>
      <c r="AK24" s="210">
        <v>0</v>
      </c>
      <c r="AL24" s="265">
        <f>AK24</f>
        <v>0</v>
      </c>
      <c r="AM24" s="256">
        <f>R24-X24-AF24+AL24</f>
        <v>35000</v>
      </c>
      <c r="AN24" s="222"/>
      <c r="AO24" s="118"/>
      <c r="AP24" s="118"/>
      <c r="AQ24" s="118" t="s">
        <v>191</v>
      </c>
      <c r="AR24" s="118"/>
      <c r="AS24" s="468">
        <f>AM24-AN24-AO24-AP24</f>
        <v>35000</v>
      </c>
      <c r="AT24" s="118"/>
      <c r="AU24" s="118"/>
      <c r="AV24" s="118" t="s">
        <v>98</v>
      </c>
      <c r="AW24" s="118"/>
      <c r="AX24" s="118"/>
      <c r="AY24" s="118"/>
      <c r="AZ24" s="118"/>
      <c r="BA24" s="118"/>
      <c r="BB24" s="118"/>
      <c r="BC24" s="118"/>
      <c r="BD24" s="118"/>
      <c r="BE24" s="118" t="s">
        <v>221</v>
      </c>
      <c r="BF24" s="118" t="s">
        <v>199</v>
      </c>
      <c r="BG24" s="118" t="s">
        <v>222</v>
      </c>
      <c r="BH24" s="118"/>
      <c r="BI24" s="118"/>
      <c r="BJ24" s="118"/>
      <c r="BK24" s="118"/>
      <c r="BL24" s="222"/>
      <c r="BM24" s="222"/>
      <c r="BN24" s="118"/>
      <c r="BO24" s="118"/>
      <c r="BP24" s="118" t="s">
        <v>191</v>
      </c>
      <c r="BQ24" s="118"/>
      <c r="BR24" s="118"/>
      <c r="BS24" s="118"/>
      <c r="BT24" s="118"/>
      <c r="BU24" s="118"/>
      <c r="BV24" s="118"/>
      <c r="BW24" s="100"/>
    </row>
    <row r="25" spans="2:75" ht="48">
      <c r="B25" s="361">
        <v>10</v>
      </c>
      <c r="C25" s="361" t="s">
        <v>284</v>
      </c>
      <c r="D25" s="369" t="s">
        <v>155</v>
      </c>
      <c r="E25" s="361" t="s">
        <v>158</v>
      </c>
      <c r="F25" s="359"/>
      <c r="G25" s="263" t="s">
        <v>197</v>
      </c>
      <c r="H25" s="112" t="s">
        <v>199</v>
      </c>
      <c r="I25" s="112" t="s">
        <v>309</v>
      </c>
      <c r="J25" s="112" t="s">
        <v>201</v>
      </c>
      <c r="K25" s="112" t="s">
        <v>98</v>
      </c>
      <c r="L25" s="112"/>
      <c r="M25" s="112" t="s">
        <v>346</v>
      </c>
      <c r="N25" s="445" t="str">
        <f>상품Data!H21</f>
        <v>2000000014</v>
      </c>
      <c r="O25" s="208">
        <f>상품Data!S21</f>
        <v>16000</v>
      </c>
      <c r="P25" s="112">
        <v>3</v>
      </c>
      <c r="Q25" s="208">
        <f t="shared" si="0"/>
        <v>48000</v>
      </c>
      <c r="R25" s="349">
        <f>SUM(Q25:Q26)</f>
        <v>80000</v>
      </c>
      <c r="S25" s="220" t="str">
        <f>프로모션Data!C11</f>
        <v>기간한정 특가</v>
      </c>
      <c r="T25" s="112">
        <f>프로모션Data!D11</f>
        <v>1234567896</v>
      </c>
      <c r="U25" s="106" t="str">
        <f>프로모션Data!E11</f>
        <v>[통합멤버십] 기간한정_30% 정률 할인</v>
      </c>
      <c r="V25" s="450">
        <v>0.3</v>
      </c>
      <c r="W25" s="245">
        <f>ROUNDUP(Q25*V25, -2)</f>
        <v>14400</v>
      </c>
      <c r="X25" s="349">
        <f>SUM(W25:W26)</f>
        <v>14400</v>
      </c>
      <c r="Y25" s="112" t="str">
        <f>쿠폰Data!C15</f>
        <v>더블포인트쿠폰</v>
      </c>
      <c r="Z25" s="112" t="str">
        <f>쿠폰Data!D15</f>
        <v>-</v>
      </c>
      <c r="AA25" s="112" t="str">
        <f>쿠폰Data!E15</f>
        <v>자사</v>
      </c>
      <c r="AB25" s="112" t="str">
        <f>쿠폰Data!F15</f>
        <v>A12345688</v>
      </c>
      <c r="AC25" s="106" t="str">
        <f>쿠폰Data!G15</f>
        <v>[더블포인트/통합멤버십] 포인트 제외 결제금액 기준 6% 적립</v>
      </c>
      <c r="AD25" s="450"/>
      <c r="AE25" s="245"/>
      <c r="AF25" s="349">
        <f>SUM(AE25:AE26)</f>
        <v>0</v>
      </c>
      <c r="AG25" s="245">
        <f t="shared" si="1"/>
        <v>1600</v>
      </c>
      <c r="AH25" s="112" t="s">
        <v>356</v>
      </c>
      <c r="AI25" s="112" t="s">
        <v>199</v>
      </c>
      <c r="AJ25" s="112" t="s">
        <v>358</v>
      </c>
      <c r="AK25" s="208">
        <v>0</v>
      </c>
      <c r="AL25" s="355">
        <f>SUM(AK25:AK26)</f>
        <v>0</v>
      </c>
      <c r="AM25" s="346">
        <f>R25-X25-AF25+AL25</f>
        <v>65600</v>
      </c>
      <c r="AN25" s="220">
        <v>50000</v>
      </c>
      <c r="AO25" s="112"/>
      <c r="AP25" s="112"/>
      <c r="AQ25" s="112" t="s">
        <v>361</v>
      </c>
      <c r="AR25" s="112"/>
      <c r="AS25" s="466">
        <f>AM25-AN25-AO25-AP25</f>
        <v>15600</v>
      </c>
      <c r="AT25" s="112"/>
      <c r="AU25" s="112"/>
      <c r="AV25" s="112" t="s">
        <v>529</v>
      </c>
      <c r="AW25" s="112" t="s">
        <v>529</v>
      </c>
      <c r="AX25" s="112"/>
      <c r="AY25" s="112"/>
      <c r="AZ25" s="112"/>
      <c r="BA25" s="112"/>
      <c r="BB25" s="112"/>
      <c r="BC25" s="112"/>
      <c r="BD25" s="112"/>
      <c r="BE25" s="112" t="s">
        <v>221</v>
      </c>
      <c r="BF25" s="112" t="s">
        <v>199</v>
      </c>
      <c r="BG25" s="112" t="s">
        <v>226</v>
      </c>
      <c r="BH25" s="112"/>
      <c r="BI25" s="112"/>
      <c r="BJ25" s="112" t="s">
        <v>191</v>
      </c>
      <c r="BK25" s="112"/>
      <c r="BL25" s="220" t="s">
        <v>98</v>
      </c>
      <c r="BM25" s="220" t="s">
        <v>98</v>
      </c>
      <c r="BN25" s="112"/>
      <c r="BO25" s="112"/>
      <c r="BP25" s="112" t="s">
        <v>361</v>
      </c>
      <c r="BQ25" s="112"/>
      <c r="BR25" s="112"/>
      <c r="BS25" s="112"/>
      <c r="BT25" s="112"/>
      <c r="BU25" s="112"/>
      <c r="BV25" s="112"/>
      <c r="BW25" s="261"/>
    </row>
    <row r="26" spans="2:75" ht="14.25" customHeight="1" thickBot="1">
      <c r="B26" s="362"/>
      <c r="C26" s="362"/>
      <c r="D26" s="370"/>
      <c r="E26" s="362"/>
      <c r="F26" s="360"/>
      <c r="G26" s="264" t="s">
        <v>197</v>
      </c>
      <c r="H26" s="113" t="s">
        <v>199</v>
      </c>
      <c r="I26" s="113" t="s">
        <v>309</v>
      </c>
      <c r="J26" s="113" t="s">
        <v>201</v>
      </c>
      <c r="K26" s="113" t="s">
        <v>98</v>
      </c>
      <c r="L26" s="113"/>
      <c r="M26" s="113" t="s">
        <v>346</v>
      </c>
      <c r="N26" s="446" t="str">
        <f>상품Data!H22</f>
        <v>2000000015</v>
      </c>
      <c r="O26" s="209">
        <f>상품Data!S22</f>
        <v>32000</v>
      </c>
      <c r="P26" s="113">
        <v>1</v>
      </c>
      <c r="Q26" s="209">
        <f t="shared" si="0"/>
        <v>32000</v>
      </c>
      <c r="R26" s="350"/>
      <c r="S26" s="221"/>
      <c r="T26" s="113" t="s">
        <v>309</v>
      </c>
      <c r="U26" s="107"/>
      <c r="V26" s="451"/>
      <c r="W26" s="246"/>
      <c r="X26" s="350"/>
      <c r="Y26" s="113"/>
      <c r="Z26" s="113"/>
      <c r="AA26" s="113"/>
      <c r="AB26" s="113" t="s">
        <v>309</v>
      </c>
      <c r="AC26" s="107"/>
      <c r="AD26" s="451"/>
      <c r="AE26" s="246"/>
      <c r="AF26" s="350"/>
      <c r="AG26" s="246">
        <f t="shared" si="1"/>
        <v>32000</v>
      </c>
      <c r="AH26" s="113"/>
      <c r="AI26" s="113"/>
      <c r="AJ26" s="113"/>
      <c r="AK26" s="209" t="s">
        <v>309</v>
      </c>
      <c r="AL26" s="356"/>
      <c r="AM26" s="347">
        <f>R26-X26-AF26+AL26</f>
        <v>0</v>
      </c>
      <c r="AN26" s="221"/>
      <c r="AO26" s="113"/>
      <c r="AP26" s="113"/>
      <c r="AQ26" s="113"/>
      <c r="AR26" s="113"/>
      <c r="AS26" s="467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 t="s">
        <v>220</v>
      </c>
      <c r="BF26" s="113" t="s">
        <v>199</v>
      </c>
      <c r="BG26" s="113" t="s">
        <v>224</v>
      </c>
      <c r="BH26" s="113"/>
      <c r="BI26" s="113"/>
      <c r="BJ26" s="113" t="s">
        <v>191</v>
      </c>
      <c r="BK26" s="113"/>
      <c r="BL26" s="221"/>
      <c r="BM26" s="221"/>
      <c r="BN26" s="113"/>
      <c r="BO26" s="113"/>
      <c r="BP26" s="113"/>
      <c r="BQ26" s="113"/>
      <c r="BR26" s="113"/>
      <c r="BS26" s="113"/>
      <c r="BT26" s="113"/>
      <c r="BU26" s="113"/>
      <c r="BV26" s="113"/>
      <c r="BW26" s="262"/>
    </row>
    <row r="27" spans="2:75" ht="48">
      <c r="B27" s="361">
        <v>11</v>
      </c>
      <c r="C27" s="361" t="s">
        <v>128</v>
      </c>
      <c r="D27" s="369" t="s">
        <v>155</v>
      </c>
      <c r="E27" s="361" t="s">
        <v>158</v>
      </c>
      <c r="F27" s="359"/>
      <c r="G27" s="116" t="s">
        <v>197</v>
      </c>
      <c r="H27" s="114" t="s">
        <v>199</v>
      </c>
      <c r="I27" s="114" t="s">
        <v>309</v>
      </c>
      <c r="J27" s="114" t="s">
        <v>201</v>
      </c>
      <c r="K27" s="114"/>
      <c r="L27" s="114" t="s">
        <v>98</v>
      </c>
      <c r="M27" s="114" t="s">
        <v>346</v>
      </c>
      <c r="N27" s="440" t="str">
        <f>상품Data!H23</f>
        <v>2000000016</v>
      </c>
      <c r="O27" s="206">
        <f>상품Data!S23</f>
        <v>10000</v>
      </c>
      <c r="P27" s="114">
        <v>2</v>
      </c>
      <c r="Q27" s="206">
        <f t="shared" si="0"/>
        <v>20000</v>
      </c>
      <c r="R27" s="349">
        <f>SUM(Q27:Q28)</f>
        <v>38000</v>
      </c>
      <c r="S27" s="218" t="str">
        <f>프로모션Data!C15</f>
        <v>상품 사은품 지급</v>
      </c>
      <c r="T27" s="114">
        <f>프로모션Data!D15</f>
        <v>1234567900</v>
      </c>
      <c r="U27" s="104" t="str">
        <f>프로모션Data!E15</f>
        <v>[전체] 상품 사은품_사은품명(사은품번호)</v>
      </c>
      <c r="V27" s="448"/>
      <c r="W27" s="243"/>
      <c r="X27" s="349">
        <f>SUM(W27:W28)</f>
        <v>0</v>
      </c>
      <c r="Y27" s="114" t="str">
        <f>쿠폰Data!C10</f>
        <v>할인쿠폰</v>
      </c>
      <c r="Z27" s="114" t="str">
        <f>쿠폰Data!D10</f>
        <v>플러스</v>
      </c>
      <c r="AA27" s="114" t="str">
        <f>쿠폰Data!E10</f>
        <v>자사</v>
      </c>
      <c r="AB27" s="114" t="str">
        <f>쿠폰Data!F10</f>
        <v>A12345683</v>
      </c>
      <c r="AC27" s="104" t="str">
        <f>쿠폰Data!G10</f>
        <v>[플러스/자사/통합멤버십] 3,000원 정액 할인</v>
      </c>
      <c r="AD27" s="448"/>
      <c r="AE27" s="243">
        <v>3000</v>
      </c>
      <c r="AF27" s="349">
        <f>SUM(AE27:AE28)</f>
        <v>3000</v>
      </c>
      <c r="AG27" s="243">
        <f t="shared" si="1"/>
        <v>7000</v>
      </c>
      <c r="AH27" s="114" t="s">
        <v>356</v>
      </c>
      <c r="AI27" s="114" t="s">
        <v>199</v>
      </c>
      <c r="AJ27" s="114" t="s">
        <v>283</v>
      </c>
      <c r="AK27" s="206">
        <v>0</v>
      </c>
      <c r="AL27" s="355">
        <f>SUM(AK27:AK28)</f>
        <v>0</v>
      </c>
      <c r="AM27" s="346">
        <f>R27-X27-AF27+AL27</f>
        <v>35000</v>
      </c>
      <c r="AN27" s="218"/>
      <c r="AO27" s="114">
        <v>5000</v>
      </c>
      <c r="AP27" s="114"/>
      <c r="AQ27" s="114" t="s">
        <v>362</v>
      </c>
      <c r="AR27" s="114"/>
      <c r="AS27" s="464">
        <f>AM27-AN27-AO27-AP27</f>
        <v>30000</v>
      </c>
      <c r="AT27" s="114"/>
      <c r="AU27" s="114"/>
      <c r="AV27" s="114"/>
      <c r="AW27" s="114" t="s">
        <v>529</v>
      </c>
      <c r="AX27" s="114"/>
      <c r="AY27" s="114"/>
      <c r="AZ27" s="114"/>
      <c r="BA27" s="114"/>
      <c r="BB27" s="114"/>
      <c r="BC27" s="114"/>
      <c r="BD27" s="114"/>
      <c r="BE27" s="114" t="s">
        <v>220</v>
      </c>
      <c r="BF27" s="114" t="s">
        <v>199</v>
      </c>
      <c r="BG27" s="95" t="s">
        <v>533</v>
      </c>
      <c r="BH27" s="114"/>
      <c r="BI27" s="114"/>
      <c r="BJ27" s="114" t="s">
        <v>534</v>
      </c>
      <c r="BK27" s="114"/>
      <c r="BL27" s="218"/>
      <c r="BM27" s="218"/>
      <c r="BN27" s="114"/>
      <c r="BO27" s="114" t="s">
        <v>98</v>
      </c>
      <c r="BP27" s="114" t="s">
        <v>362</v>
      </c>
      <c r="BQ27" s="114"/>
      <c r="BR27" s="114"/>
      <c r="BS27" s="114"/>
      <c r="BT27" s="114"/>
      <c r="BU27" s="114"/>
      <c r="BV27" s="114"/>
      <c r="BW27" s="101"/>
    </row>
    <row r="28" spans="2:75" ht="12.75" thickBot="1">
      <c r="B28" s="362"/>
      <c r="C28" s="362"/>
      <c r="D28" s="370"/>
      <c r="E28" s="362"/>
      <c r="F28" s="360"/>
      <c r="G28" s="117" t="s">
        <v>198</v>
      </c>
      <c r="H28" s="115" t="s">
        <v>199</v>
      </c>
      <c r="I28" s="115" t="s">
        <v>309</v>
      </c>
      <c r="J28" s="115" t="s">
        <v>201</v>
      </c>
      <c r="K28" s="115"/>
      <c r="L28" s="115"/>
      <c r="M28" s="115" t="s">
        <v>346</v>
      </c>
      <c r="N28" s="441" t="str">
        <f>상품Data!H24</f>
        <v>2000000017</v>
      </c>
      <c r="O28" s="207">
        <f>상품Data!S24</f>
        <v>9000</v>
      </c>
      <c r="P28" s="115">
        <v>2</v>
      </c>
      <c r="Q28" s="207">
        <f t="shared" si="0"/>
        <v>18000</v>
      </c>
      <c r="R28" s="350"/>
      <c r="S28" s="219"/>
      <c r="T28" s="115" t="s">
        <v>309</v>
      </c>
      <c r="U28" s="105"/>
      <c r="V28" s="449"/>
      <c r="W28" s="244"/>
      <c r="X28" s="350"/>
      <c r="Y28" s="115"/>
      <c r="Z28" s="115"/>
      <c r="AA28" s="115"/>
      <c r="AB28" s="115"/>
      <c r="AC28" s="105"/>
      <c r="AD28" s="449"/>
      <c r="AE28" s="244"/>
      <c r="AF28" s="350"/>
      <c r="AG28" s="244">
        <f t="shared" si="1"/>
        <v>9000</v>
      </c>
      <c r="AH28" s="115"/>
      <c r="AI28" s="115"/>
      <c r="AJ28" s="115"/>
      <c r="AK28" s="207" t="s">
        <v>309</v>
      </c>
      <c r="AL28" s="356"/>
      <c r="AM28" s="347">
        <f>R28-X28-AF28+AL28</f>
        <v>0</v>
      </c>
      <c r="AN28" s="219"/>
      <c r="AO28" s="115"/>
      <c r="AP28" s="115"/>
      <c r="AQ28" s="115"/>
      <c r="AR28" s="115"/>
      <c r="AS28" s="46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 t="s">
        <v>220</v>
      </c>
      <c r="BF28" s="115" t="s">
        <v>199</v>
      </c>
      <c r="BG28" s="115" t="s">
        <v>225</v>
      </c>
      <c r="BH28" s="115"/>
      <c r="BI28" s="115"/>
      <c r="BJ28" s="115" t="s">
        <v>228</v>
      </c>
      <c r="BK28" s="115"/>
      <c r="BL28" s="219"/>
      <c r="BM28" s="219"/>
      <c r="BN28" s="115"/>
      <c r="BO28" s="115"/>
      <c r="BP28" s="115"/>
      <c r="BQ28" s="115"/>
      <c r="BR28" s="115"/>
      <c r="BS28" s="115"/>
      <c r="BT28" s="115"/>
      <c r="BU28" s="115"/>
      <c r="BV28" s="115"/>
      <c r="BW28" s="99"/>
    </row>
    <row r="29" spans="2:75" ht="48">
      <c r="B29" s="361">
        <v>12</v>
      </c>
      <c r="C29" s="361" t="s">
        <v>271</v>
      </c>
      <c r="D29" s="369" t="s">
        <v>155</v>
      </c>
      <c r="E29" s="361" t="s">
        <v>158</v>
      </c>
      <c r="F29" s="359"/>
      <c r="G29" s="263" t="s">
        <v>197</v>
      </c>
      <c r="H29" s="112" t="s">
        <v>199</v>
      </c>
      <c r="I29" s="112" t="s">
        <v>309</v>
      </c>
      <c r="J29" s="112" t="s">
        <v>201</v>
      </c>
      <c r="K29" s="112"/>
      <c r="L29" s="112"/>
      <c r="M29" s="112" t="s">
        <v>346</v>
      </c>
      <c r="N29" s="442" t="str">
        <f>상품Data!H25</f>
        <v>2000000018</v>
      </c>
      <c r="O29" s="208">
        <f>상품Data!S25</f>
        <v>8000</v>
      </c>
      <c r="P29" s="112">
        <v>2</v>
      </c>
      <c r="Q29" s="208">
        <f t="shared" si="0"/>
        <v>16000</v>
      </c>
      <c r="R29" s="349">
        <f>SUM(Q29:Q31)</f>
        <v>38000</v>
      </c>
      <c r="S29" s="220" t="str">
        <f>프로모션Data!C7</f>
        <v>즉시할인</v>
      </c>
      <c r="T29" s="112">
        <f>프로모션Data!D7</f>
        <v>1234567892</v>
      </c>
      <c r="U29" s="106" t="str">
        <f>프로모션Data!E7</f>
        <v>[통합멤버십] 즉시할인_20% 정률 할인</v>
      </c>
      <c r="V29" s="450">
        <v>0.2</v>
      </c>
      <c r="W29" s="245">
        <f>ROUNDUP(Q29*V29, -2)</f>
        <v>3200</v>
      </c>
      <c r="X29" s="349">
        <f>SUM(W29:W31)</f>
        <v>3200</v>
      </c>
      <c r="Y29" s="112" t="str">
        <f>쿠폰Data!C6</f>
        <v>할인쿠폰</v>
      </c>
      <c r="Z29" s="112" t="str">
        <f>쿠폰Data!D6</f>
        <v>일반</v>
      </c>
      <c r="AA29" s="112" t="str">
        <f>쿠폰Data!E6</f>
        <v>자사</v>
      </c>
      <c r="AB29" s="112" t="str">
        <f>쿠폰Data!F6</f>
        <v>A12345679</v>
      </c>
      <c r="AC29" s="106" t="str">
        <f>쿠폰Data!G6</f>
        <v>[일반/자사/통합멤버십] 3,000원 정액 할인</v>
      </c>
      <c r="AD29" s="450"/>
      <c r="AE29" s="245">
        <v>3000</v>
      </c>
      <c r="AF29" s="349">
        <f>SUM(AE29:AE31)</f>
        <v>3000</v>
      </c>
      <c r="AG29" s="245">
        <f t="shared" si="1"/>
        <v>1800</v>
      </c>
      <c r="AH29" s="112" t="s">
        <v>287</v>
      </c>
      <c r="AI29" s="112" t="s">
        <v>199</v>
      </c>
      <c r="AJ29" s="112"/>
      <c r="AK29" s="208">
        <v>2500</v>
      </c>
      <c r="AL29" s="355">
        <f>SUM(AK29:AK31)</f>
        <v>2500</v>
      </c>
      <c r="AM29" s="346">
        <f>R29-X29-AF29+AL29</f>
        <v>34300</v>
      </c>
      <c r="AN29" s="220">
        <v>30000</v>
      </c>
      <c r="AO29" s="112">
        <v>4300</v>
      </c>
      <c r="AP29" s="112"/>
      <c r="AQ29" s="112"/>
      <c r="AR29" s="112"/>
      <c r="AS29" s="466">
        <f>AM29-AN29-AO29-AP29</f>
        <v>0</v>
      </c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 t="s">
        <v>199</v>
      </c>
      <c r="BG29" s="112"/>
      <c r="BH29" s="112"/>
      <c r="BI29" s="112"/>
      <c r="BJ29" s="112"/>
      <c r="BK29" s="112"/>
      <c r="BL29" s="220" t="s">
        <v>98</v>
      </c>
      <c r="BM29" s="220" t="s">
        <v>98</v>
      </c>
      <c r="BN29" s="112" t="s">
        <v>98</v>
      </c>
      <c r="BO29" s="112"/>
      <c r="BP29" s="112"/>
      <c r="BQ29" s="112"/>
      <c r="BR29" s="112"/>
      <c r="BS29" s="112"/>
      <c r="BT29" s="112"/>
      <c r="BU29" s="112"/>
      <c r="BV29" s="112"/>
      <c r="BW29" s="261"/>
    </row>
    <row r="30" spans="2:75" ht="13.5" customHeight="1">
      <c r="B30" s="363"/>
      <c r="C30" s="363"/>
      <c r="D30" s="371"/>
      <c r="E30" s="363"/>
      <c r="F30" s="364"/>
      <c r="G30" s="257" t="s">
        <v>155</v>
      </c>
      <c r="H30" s="118" t="s">
        <v>200</v>
      </c>
      <c r="I30" s="118" t="s">
        <v>334</v>
      </c>
      <c r="J30" s="118" t="s">
        <v>201</v>
      </c>
      <c r="K30" s="118"/>
      <c r="L30" s="118"/>
      <c r="M30" s="118" t="s">
        <v>346</v>
      </c>
      <c r="N30" s="444" t="str">
        <f>상품Data!H26</f>
        <v>2000000019</v>
      </c>
      <c r="O30" s="210">
        <f>상품Data!S26</f>
        <v>11000</v>
      </c>
      <c r="P30" s="118">
        <v>2</v>
      </c>
      <c r="Q30" s="210">
        <f t="shared" si="0"/>
        <v>22000</v>
      </c>
      <c r="R30" s="351"/>
      <c r="S30" s="222"/>
      <c r="T30" s="118" t="s">
        <v>309</v>
      </c>
      <c r="U30" s="108"/>
      <c r="V30" s="452"/>
      <c r="W30" s="247"/>
      <c r="X30" s="351"/>
      <c r="Y30" s="118" t="str">
        <f>쿠폰Data!C17</f>
        <v>무료배송쿠폰</v>
      </c>
      <c r="Z30" s="118" t="str">
        <f>쿠폰Data!D17</f>
        <v>-</v>
      </c>
      <c r="AA30" s="118" t="str">
        <f>쿠폰Data!E17</f>
        <v>입점</v>
      </c>
      <c r="AB30" s="118" t="str">
        <f>쿠폰Data!F17</f>
        <v>A12345690</v>
      </c>
      <c r="AC30" s="108" t="str">
        <f>쿠폰Data!G17</f>
        <v>[입점] 배송비 무료</v>
      </c>
      <c r="AD30" s="452"/>
      <c r="AE30" s="247"/>
      <c r="AF30" s="351"/>
      <c r="AG30" s="247">
        <f t="shared" si="1"/>
        <v>11000</v>
      </c>
      <c r="AH30" s="118" t="s">
        <v>287</v>
      </c>
      <c r="AI30" s="118" t="s">
        <v>200</v>
      </c>
      <c r="AJ30" s="118" t="s">
        <v>274</v>
      </c>
      <c r="AK30" s="210">
        <v>0</v>
      </c>
      <c r="AL30" s="357"/>
      <c r="AM30" s="348">
        <f>R30-X30-AF30+AL30</f>
        <v>0</v>
      </c>
      <c r="AN30" s="222"/>
      <c r="AO30" s="118"/>
      <c r="AP30" s="118"/>
      <c r="AQ30" s="118"/>
      <c r="AR30" s="118"/>
      <c r="AS30" s="46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 t="s">
        <v>220</v>
      </c>
      <c r="BF30" s="118" t="s">
        <v>200</v>
      </c>
      <c r="BG30" s="118" t="s">
        <v>224</v>
      </c>
      <c r="BH30" s="118"/>
      <c r="BI30" s="118"/>
      <c r="BJ30" s="118" t="s">
        <v>353</v>
      </c>
      <c r="BK30" s="118"/>
      <c r="BL30" s="222"/>
      <c r="BM30" s="222"/>
      <c r="BN30" s="118"/>
      <c r="BO30" s="118"/>
      <c r="BP30" s="118"/>
      <c r="BQ30" s="118"/>
      <c r="BR30" s="118"/>
      <c r="BS30" s="118"/>
      <c r="BT30" s="118"/>
      <c r="BU30" s="118"/>
      <c r="BV30" s="118"/>
      <c r="BW30" s="100"/>
    </row>
    <row r="31" spans="2:75" ht="14.25" customHeight="1" thickBot="1">
      <c r="B31" s="362"/>
      <c r="C31" s="362"/>
      <c r="D31" s="370"/>
      <c r="E31" s="362"/>
      <c r="F31" s="360"/>
      <c r="G31" s="264" t="s">
        <v>155</v>
      </c>
      <c r="H31" s="113" t="s">
        <v>200</v>
      </c>
      <c r="I31" s="113" t="s">
        <v>334</v>
      </c>
      <c r="J31" s="113"/>
      <c r="K31" s="113"/>
      <c r="L31" s="113"/>
      <c r="M31" s="113"/>
      <c r="N31" s="267">
        <v>1234567911</v>
      </c>
      <c r="O31" s="209" t="s">
        <v>309</v>
      </c>
      <c r="P31" s="113"/>
      <c r="Q31" s="209" t="s">
        <v>309</v>
      </c>
      <c r="R31" s="350"/>
      <c r="S31" s="221"/>
      <c r="T31" s="113"/>
      <c r="U31" s="107"/>
      <c r="V31" s="451"/>
      <c r="W31" s="246"/>
      <c r="X31" s="350"/>
      <c r="Y31" s="113" t="str">
        <f>쿠폰Data!C21</f>
        <v>무료반품쿠폰</v>
      </c>
      <c r="Z31" s="113" t="str">
        <f>쿠폰Data!D21</f>
        <v>-</v>
      </c>
      <c r="AA31" s="113" t="str">
        <f>쿠폰Data!E21</f>
        <v>입점</v>
      </c>
      <c r="AB31" s="113" t="str">
        <f>쿠폰Data!F21</f>
        <v>A12345694</v>
      </c>
      <c r="AC31" s="107" t="str">
        <f>쿠폰Data!G21</f>
        <v>[입점] 반품배송비 무료</v>
      </c>
      <c r="AD31" s="451"/>
      <c r="AE31" s="246"/>
      <c r="AF31" s="350"/>
      <c r="AG31" s="246"/>
      <c r="AH31" s="113"/>
      <c r="AI31" s="113"/>
      <c r="AJ31" s="113"/>
      <c r="AK31" s="209" t="s">
        <v>309</v>
      </c>
      <c r="AL31" s="356"/>
      <c r="AM31" s="347">
        <f>R31-X31-AF31+AL31</f>
        <v>0</v>
      </c>
      <c r="AN31" s="221"/>
      <c r="AO31" s="113"/>
      <c r="AP31" s="113"/>
      <c r="AQ31" s="113"/>
      <c r="AR31" s="113"/>
      <c r="AS31" s="467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3"/>
      <c r="BK31" s="113"/>
      <c r="BL31" s="221"/>
      <c r="BM31" s="221"/>
      <c r="BN31" s="113"/>
      <c r="BO31" s="113"/>
      <c r="BP31" s="113"/>
      <c r="BQ31" s="113"/>
      <c r="BR31" s="113"/>
      <c r="BS31" s="113"/>
      <c r="BT31" s="113"/>
      <c r="BU31" s="113"/>
      <c r="BV31" s="113"/>
      <c r="BW31" s="262"/>
    </row>
    <row r="32" spans="2:75" ht="24.75" thickBot="1">
      <c r="B32" s="257">
        <v>13</v>
      </c>
      <c r="C32" s="257" t="s">
        <v>272</v>
      </c>
      <c r="D32" s="258" t="s">
        <v>155</v>
      </c>
      <c r="E32" s="257" t="s">
        <v>158</v>
      </c>
      <c r="F32" s="259"/>
      <c r="G32" s="257" t="s">
        <v>155</v>
      </c>
      <c r="H32" s="118" t="s">
        <v>200</v>
      </c>
      <c r="I32" s="118" t="s">
        <v>336</v>
      </c>
      <c r="J32" s="118" t="s">
        <v>201</v>
      </c>
      <c r="K32" s="118"/>
      <c r="L32" s="118"/>
      <c r="M32" s="118" t="s">
        <v>346</v>
      </c>
      <c r="N32" s="444" t="str">
        <f>상품Data!H27</f>
        <v>2000000020</v>
      </c>
      <c r="O32" s="210">
        <f>상품Data!S27</f>
        <v>33000</v>
      </c>
      <c r="P32" s="118">
        <v>1</v>
      </c>
      <c r="Q32" s="210">
        <f t="shared" si="0"/>
        <v>33000</v>
      </c>
      <c r="R32" s="266">
        <f>Q32</f>
        <v>33000</v>
      </c>
      <c r="S32" s="222"/>
      <c r="T32" s="118" t="s">
        <v>309</v>
      </c>
      <c r="U32" s="108"/>
      <c r="V32" s="452"/>
      <c r="W32" s="247"/>
      <c r="X32" s="260">
        <f>W32</f>
        <v>0</v>
      </c>
      <c r="Y32" s="118" t="str">
        <f>쿠폰Data!C8</f>
        <v>할인쿠폰</v>
      </c>
      <c r="Z32" s="118" t="str">
        <f>쿠폰Data!D8</f>
        <v>일반</v>
      </c>
      <c r="AA32" s="118" t="str">
        <f>쿠폰Data!E8</f>
        <v>입점</v>
      </c>
      <c r="AB32" s="118" t="str">
        <f>쿠폰Data!F8</f>
        <v>A12345681</v>
      </c>
      <c r="AC32" s="108" t="str">
        <f>쿠폰Data!G8</f>
        <v>[일반/입점/통합멤버십]5,000원 정액 할인</v>
      </c>
      <c r="AD32" s="452"/>
      <c r="AE32" s="247">
        <v>5000</v>
      </c>
      <c r="AF32" s="260">
        <f>AE32</f>
        <v>5000</v>
      </c>
      <c r="AG32" s="247">
        <f t="shared" si="1"/>
        <v>28000</v>
      </c>
      <c r="AH32" s="118" t="s">
        <v>287</v>
      </c>
      <c r="AI32" s="118" t="s">
        <v>200</v>
      </c>
      <c r="AJ32" s="118" t="s">
        <v>358</v>
      </c>
      <c r="AK32" s="210">
        <v>0</v>
      </c>
      <c r="AL32" s="265">
        <f>AK32</f>
        <v>0</v>
      </c>
      <c r="AM32" s="256">
        <f>R32-X32-AF32+AL32</f>
        <v>28000</v>
      </c>
      <c r="AN32" s="222"/>
      <c r="AO32" s="118"/>
      <c r="AP32" s="118"/>
      <c r="AQ32" s="118" t="s">
        <v>359</v>
      </c>
      <c r="AR32" s="118"/>
      <c r="AS32" s="468">
        <f>AM32-AN32-AO32-AP32</f>
        <v>28000</v>
      </c>
      <c r="AT32" s="118"/>
      <c r="AU32" s="118"/>
      <c r="AV32" s="118" t="s">
        <v>98</v>
      </c>
      <c r="AW32" s="118"/>
      <c r="AX32" s="118"/>
      <c r="AY32" s="118"/>
      <c r="AZ32" s="118"/>
      <c r="BA32" s="118"/>
      <c r="BB32" s="118"/>
      <c r="BC32" s="118"/>
      <c r="BD32" s="118"/>
      <c r="BE32" s="118" t="s">
        <v>221</v>
      </c>
      <c r="BF32" s="118" t="s">
        <v>200</v>
      </c>
      <c r="BG32" s="118" t="s">
        <v>222</v>
      </c>
      <c r="BH32" s="118"/>
      <c r="BI32" s="118"/>
      <c r="BJ32" s="118"/>
      <c r="BK32" s="118"/>
      <c r="BL32" s="222"/>
      <c r="BM32" s="222"/>
      <c r="BN32" s="118"/>
      <c r="BO32" s="118"/>
      <c r="BP32" s="118" t="s">
        <v>359</v>
      </c>
      <c r="BQ32" s="118"/>
      <c r="BR32" s="118"/>
      <c r="BS32" s="118"/>
      <c r="BT32" s="118"/>
      <c r="BU32" s="118"/>
      <c r="BV32" s="118"/>
      <c r="BW32" s="100"/>
    </row>
    <row r="33" spans="2:75" ht="36.75" thickBot="1">
      <c r="B33" s="96">
        <v>14</v>
      </c>
      <c r="C33" s="96" t="s">
        <v>131</v>
      </c>
      <c r="D33" s="217" t="s">
        <v>112</v>
      </c>
      <c r="E33" s="96" t="s">
        <v>156</v>
      </c>
      <c r="F33" s="238"/>
      <c r="G33" s="96" t="s">
        <v>112</v>
      </c>
      <c r="H33" s="97" t="s">
        <v>199</v>
      </c>
      <c r="I33" s="97" t="s">
        <v>309</v>
      </c>
      <c r="J33" s="97" t="s">
        <v>201</v>
      </c>
      <c r="K33" s="97"/>
      <c r="L33" s="97"/>
      <c r="M33" s="97" t="s">
        <v>346</v>
      </c>
      <c r="N33" s="447" t="str">
        <f>상품Data!H28</f>
        <v>2000000021</v>
      </c>
      <c r="O33" s="211">
        <f>상품Data!S28</f>
        <v>14000</v>
      </c>
      <c r="P33" s="97">
        <v>1</v>
      </c>
      <c r="Q33" s="211">
        <f t="shared" si="0"/>
        <v>14000</v>
      </c>
      <c r="R33" s="253">
        <f>Q33</f>
        <v>14000</v>
      </c>
      <c r="S33" s="223" t="str">
        <f>프로모션Data!C10</f>
        <v>기간한정 특가</v>
      </c>
      <c r="T33" s="97">
        <f>프로모션Data!D10</f>
        <v>1234567895</v>
      </c>
      <c r="U33" s="109" t="str">
        <f>프로모션Data!E10</f>
        <v>[전체] 기간한정_5,000원 정액 할인</v>
      </c>
      <c r="V33" s="453"/>
      <c r="W33" s="248">
        <v>5000</v>
      </c>
      <c r="X33" s="253">
        <f>W33</f>
        <v>5000</v>
      </c>
      <c r="Y33" s="97"/>
      <c r="Z33" s="97"/>
      <c r="AA33" s="97"/>
      <c r="AB33" s="97" t="s">
        <v>309</v>
      </c>
      <c r="AC33" s="109"/>
      <c r="AD33" s="453"/>
      <c r="AE33" s="248"/>
      <c r="AF33" s="253">
        <f>AE33</f>
        <v>0</v>
      </c>
      <c r="AG33" s="248">
        <f t="shared" si="1"/>
        <v>9000</v>
      </c>
      <c r="AH33" s="97" t="s">
        <v>287</v>
      </c>
      <c r="AI33" s="97" t="s">
        <v>199</v>
      </c>
      <c r="AJ33" s="97"/>
      <c r="AK33" s="211">
        <v>2500</v>
      </c>
      <c r="AL33" s="252">
        <f>AK33</f>
        <v>2500</v>
      </c>
      <c r="AM33" s="251">
        <f>R33-X33-AF33+AL33</f>
        <v>11500</v>
      </c>
      <c r="AN33" s="223"/>
      <c r="AO33" s="97"/>
      <c r="AP33" s="97"/>
      <c r="AQ33" s="97" t="s">
        <v>191</v>
      </c>
      <c r="AR33" s="97"/>
      <c r="AS33" s="469">
        <f>AM33-AN33-AO33-AP33</f>
        <v>11500</v>
      </c>
      <c r="AT33" s="97"/>
      <c r="AU33" s="97"/>
      <c r="AV33" s="97" t="s">
        <v>98</v>
      </c>
      <c r="AW33" s="97"/>
      <c r="AX33" s="97" t="s">
        <v>98</v>
      </c>
      <c r="AY33" s="97"/>
      <c r="AZ33" s="97"/>
      <c r="BA33" s="97"/>
      <c r="BB33" s="97"/>
      <c r="BC33" s="97"/>
      <c r="BD33" s="97"/>
      <c r="BE33" s="97" t="s">
        <v>220</v>
      </c>
      <c r="BF33" s="97" t="s">
        <v>199</v>
      </c>
      <c r="BG33" s="97" t="s">
        <v>222</v>
      </c>
      <c r="BH33" s="97"/>
      <c r="BI33" s="97"/>
      <c r="BJ33" s="97"/>
      <c r="BK33" s="97"/>
      <c r="BL33" s="223"/>
      <c r="BM33" s="223"/>
      <c r="BN33" s="97"/>
      <c r="BO33" s="97"/>
      <c r="BP33" s="97" t="s">
        <v>191</v>
      </c>
      <c r="BQ33" s="97"/>
      <c r="BR33" s="97"/>
      <c r="BS33" s="97"/>
      <c r="BT33" s="97"/>
      <c r="BU33" s="97"/>
      <c r="BV33" s="97"/>
      <c r="BW33" s="98"/>
    </row>
    <row r="34" spans="2:75">
      <c r="B34" s="361">
        <v>15</v>
      </c>
      <c r="C34" s="361" t="s">
        <v>132</v>
      </c>
      <c r="D34" s="369" t="s">
        <v>112</v>
      </c>
      <c r="E34" s="361" t="s">
        <v>156</v>
      </c>
      <c r="F34" s="359"/>
      <c r="G34" s="116" t="s">
        <v>112</v>
      </c>
      <c r="H34" s="114" t="s">
        <v>199</v>
      </c>
      <c r="I34" s="114" t="s">
        <v>309</v>
      </c>
      <c r="J34" s="114" t="s">
        <v>201</v>
      </c>
      <c r="K34" s="114"/>
      <c r="L34" s="114" t="s">
        <v>98</v>
      </c>
      <c r="M34" s="114" t="s">
        <v>346</v>
      </c>
      <c r="N34" s="440" t="str">
        <f>상품Data!H29</f>
        <v>2000000022</v>
      </c>
      <c r="O34" s="206">
        <f>상품Data!S29</f>
        <v>43000</v>
      </c>
      <c r="P34" s="114">
        <v>1</v>
      </c>
      <c r="Q34" s="206">
        <f t="shared" si="0"/>
        <v>43000</v>
      </c>
      <c r="R34" s="349">
        <f>SUM(Q34:Q35)</f>
        <v>65000</v>
      </c>
      <c r="S34" s="218"/>
      <c r="T34" s="114" t="s">
        <v>309</v>
      </c>
      <c r="U34" s="104"/>
      <c r="V34" s="448"/>
      <c r="W34" s="243"/>
      <c r="X34" s="349">
        <f>SUM(W34:W35)</f>
        <v>0</v>
      </c>
      <c r="Y34" s="114"/>
      <c r="Z34" s="114"/>
      <c r="AA34" s="114"/>
      <c r="AB34" s="114" t="s">
        <v>309</v>
      </c>
      <c r="AC34" s="104"/>
      <c r="AD34" s="448"/>
      <c r="AE34" s="243"/>
      <c r="AF34" s="349">
        <f>SUM(AE34:AE35)</f>
        <v>0</v>
      </c>
      <c r="AG34" s="243">
        <f t="shared" si="1"/>
        <v>43000</v>
      </c>
      <c r="AH34" s="112" t="s">
        <v>356</v>
      </c>
      <c r="AI34" s="112" t="s">
        <v>199</v>
      </c>
      <c r="AJ34" s="112" t="s">
        <v>283</v>
      </c>
      <c r="AK34" s="208">
        <v>0</v>
      </c>
      <c r="AL34" s="355">
        <f>SUM(AK34:AK35)</f>
        <v>0</v>
      </c>
      <c r="AM34" s="346">
        <f>R34-X34-AF34+AL34</f>
        <v>65000</v>
      </c>
      <c r="AN34" s="218"/>
      <c r="AO34" s="114"/>
      <c r="AP34" s="114"/>
      <c r="AQ34" s="114" t="s">
        <v>363</v>
      </c>
      <c r="AR34" s="114"/>
      <c r="AS34" s="464">
        <f>AM34-AN34-AO34-AP34</f>
        <v>65000</v>
      </c>
      <c r="AT34" s="114"/>
      <c r="AU34" s="114"/>
      <c r="AV34" s="114"/>
      <c r="AW34" s="114"/>
      <c r="AX34" s="114" t="s">
        <v>98</v>
      </c>
      <c r="AY34" s="114"/>
      <c r="AZ34" s="114"/>
      <c r="BA34" s="114"/>
      <c r="BB34" s="114"/>
      <c r="BC34" s="114"/>
      <c r="BD34" s="114"/>
      <c r="BE34" s="114" t="s">
        <v>221</v>
      </c>
      <c r="BF34" s="114" t="s">
        <v>199</v>
      </c>
      <c r="BG34" s="114" t="s">
        <v>223</v>
      </c>
      <c r="BH34" s="114"/>
      <c r="BI34" s="114" t="s">
        <v>98</v>
      </c>
      <c r="BJ34" s="114"/>
      <c r="BK34" s="114"/>
      <c r="BL34" s="218"/>
      <c r="BM34" s="218"/>
      <c r="BN34" s="114"/>
      <c r="BO34" s="114"/>
      <c r="BP34" s="114" t="s">
        <v>363</v>
      </c>
      <c r="BQ34" s="114"/>
      <c r="BR34" s="114"/>
      <c r="BS34" s="114"/>
      <c r="BT34" s="114"/>
      <c r="BU34" s="114"/>
      <c r="BV34" s="114"/>
      <c r="BW34" s="101"/>
    </row>
    <row r="35" spans="2:75" ht="12.75" thickBot="1">
      <c r="B35" s="363"/>
      <c r="C35" s="363"/>
      <c r="D35" s="371"/>
      <c r="E35" s="362"/>
      <c r="F35" s="360"/>
      <c r="G35" s="117" t="s">
        <v>112</v>
      </c>
      <c r="H35" s="115" t="s">
        <v>199</v>
      </c>
      <c r="I35" s="115" t="s">
        <v>309</v>
      </c>
      <c r="J35" s="115" t="s">
        <v>201</v>
      </c>
      <c r="K35" s="115"/>
      <c r="L35" s="115"/>
      <c r="M35" s="115" t="s">
        <v>346</v>
      </c>
      <c r="N35" s="441" t="str">
        <f>상품Data!H30</f>
        <v>2000000023</v>
      </c>
      <c r="O35" s="207">
        <f>상품Data!S30</f>
        <v>11000</v>
      </c>
      <c r="P35" s="115">
        <v>2</v>
      </c>
      <c r="Q35" s="207">
        <f t="shared" si="0"/>
        <v>22000</v>
      </c>
      <c r="R35" s="351"/>
      <c r="S35" s="219"/>
      <c r="T35" s="115" t="s">
        <v>309</v>
      </c>
      <c r="U35" s="105"/>
      <c r="V35" s="449"/>
      <c r="W35" s="244"/>
      <c r="X35" s="351"/>
      <c r="Y35" s="115"/>
      <c r="Z35" s="115"/>
      <c r="AA35" s="115"/>
      <c r="AB35" s="115" t="s">
        <v>309</v>
      </c>
      <c r="AC35" s="105"/>
      <c r="AD35" s="449"/>
      <c r="AE35" s="244"/>
      <c r="AF35" s="351"/>
      <c r="AG35" s="244">
        <f t="shared" si="1"/>
        <v>11000</v>
      </c>
      <c r="AH35" s="115"/>
      <c r="AI35" s="115"/>
      <c r="AJ35" s="115"/>
      <c r="AK35" s="207" t="s">
        <v>309</v>
      </c>
      <c r="AL35" s="357"/>
      <c r="AM35" s="348">
        <f>R35-X35-AF35+AL35</f>
        <v>0</v>
      </c>
      <c r="AN35" s="219"/>
      <c r="AO35" s="115"/>
      <c r="AP35" s="115"/>
      <c r="AQ35" s="115"/>
      <c r="AR35" s="115"/>
      <c r="AS35" s="46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219"/>
      <c r="BM35" s="219"/>
      <c r="BN35" s="115"/>
      <c r="BO35" s="115"/>
      <c r="BP35" s="115"/>
      <c r="BQ35" s="115"/>
      <c r="BR35" s="115"/>
      <c r="BS35" s="115"/>
      <c r="BT35" s="115"/>
      <c r="BU35" s="115"/>
      <c r="BV35" s="115"/>
      <c r="BW35" s="99"/>
    </row>
    <row r="36" spans="2:75" ht="24">
      <c r="B36" s="376">
        <v>16</v>
      </c>
      <c r="C36" s="376" t="s">
        <v>133</v>
      </c>
      <c r="D36" s="376" t="s">
        <v>112</v>
      </c>
      <c r="E36" s="361" t="s">
        <v>136</v>
      </c>
      <c r="F36" s="359"/>
      <c r="G36" s="263" t="s">
        <v>112</v>
      </c>
      <c r="H36" s="112" t="s">
        <v>199</v>
      </c>
      <c r="I36" s="112" t="s">
        <v>309</v>
      </c>
      <c r="J36" s="112" t="s">
        <v>201</v>
      </c>
      <c r="K36" s="112" t="s">
        <v>98</v>
      </c>
      <c r="L36" s="112"/>
      <c r="M36" s="112" t="s">
        <v>346</v>
      </c>
      <c r="N36" s="442" t="str">
        <f>상품Data!H31</f>
        <v>2000000024</v>
      </c>
      <c r="O36" s="208">
        <f>상품Data!S31</f>
        <v>69000</v>
      </c>
      <c r="P36" s="112">
        <v>2</v>
      </c>
      <c r="Q36" s="208">
        <f t="shared" si="0"/>
        <v>138000</v>
      </c>
      <c r="R36" s="349">
        <f>Q36</f>
        <v>138000</v>
      </c>
      <c r="S36" s="220"/>
      <c r="T36" s="112" t="s">
        <v>309</v>
      </c>
      <c r="U36" s="106"/>
      <c r="V36" s="450"/>
      <c r="W36" s="245"/>
      <c r="X36" s="349">
        <f>W36</f>
        <v>0</v>
      </c>
      <c r="Y36" s="112" t="str">
        <f>쿠폰Data!C23</f>
        <v>품절보상쿠폰</v>
      </c>
      <c r="Z36" s="112" t="str">
        <f>쿠폰Data!D23</f>
        <v>플러스</v>
      </c>
      <c r="AA36" s="112" t="str">
        <f>쿠폰Data!E23</f>
        <v>자사</v>
      </c>
      <c r="AB36" s="112" t="str">
        <f>쿠폰Data!F23</f>
        <v>A12345696</v>
      </c>
      <c r="AC36" s="106" t="str">
        <f>쿠폰Data!G23</f>
        <v>[자사] 품절보상 / 20% 정률 할인 / 상품갯수 제한 없음</v>
      </c>
      <c r="AD36" s="450">
        <v>0.2</v>
      </c>
      <c r="AE36" s="245">
        <f>ROUNDUP((Q36-W36)*AD36, -2)</f>
        <v>27600</v>
      </c>
      <c r="AF36" s="349">
        <f>SUM(AE36:AE37)</f>
        <v>27600</v>
      </c>
      <c r="AG36" s="245">
        <f t="shared" si="1"/>
        <v>41400</v>
      </c>
      <c r="AH36" s="112" t="s">
        <v>203</v>
      </c>
      <c r="AI36" s="112" t="s">
        <v>199</v>
      </c>
      <c r="AJ36" s="112" t="s">
        <v>274</v>
      </c>
      <c r="AK36" s="208">
        <v>0</v>
      </c>
      <c r="AL36" s="346">
        <f>SUM(AK36:AK37)</f>
        <v>0</v>
      </c>
      <c r="AM36" s="346">
        <f>R36-X36-AF36+AL36</f>
        <v>110400</v>
      </c>
      <c r="AN36" s="220"/>
      <c r="AO36" s="112"/>
      <c r="AP36" s="112"/>
      <c r="AQ36" s="112" t="s">
        <v>191</v>
      </c>
      <c r="AR36" s="112"/>
      <c r="AS36" s="466">
        <f>AM36-AN36-AO36-AP36</f>
        <v>110400</v>
      </c>
      <c r="AT36" s="112"/>
      <c r="AU36" s="112"/>
      <c r="AV36" s="112" t="s">
        <v>98</v>
      </c>
      <c r="AW36" s="112"/>
      <c r="AX36" s="112"/>
      <c r="AY36" s="112"/>
      <c r="AZ36" s="112"/>
      <c r="BA36" s="112"/>
      <c r="BB36" s="112"/>
      <c r="BC36" s="112"/>
      <c r="BD36" s="112"/>
      <c r="BE36" s="112" t="s">
        <v>220</v>
      </c>
      <c r="BF36" s="112" t="s">
        <v>199</v>
      </c>
      <c r="BG36" s="112" t="s">
        <v>226</v>
      </c>
      <c r="BH36" s="112"/>
      <c r="BI36" s="112"/>
      <c r="BJ36" s="112" t="s">
        <v>191</v>
      </c>
      <c r="BK36" s="112"/>
      <c r="BL36" s="220"/>
      <c r="BM36" s="220"/>
      <c r="BN36" s="112"/>
      <c r="BO36" s="112"/>
      <c r="BP36" s="112" t="s">
        <v>191</v>
      </c>
      <c r="BQ36" s="112"/>
      <c r="BR36" s="112"/>
      <c r="BS36" s="112"/>
      <c r="BT36" s="112"/>
      <c r="BU36" s="112"/>
      <c r="BV36" s="112"/>
      <c r="BW36" s="261"/>
    </row>
    <row r="37" spans="2:75" ht="14.25" customHeight="1" thickBot="1">
      <c r="B37" s="377"/>
      <c r="C37" s="377"/>
      <c r="D37" s="377"/>
      <c r="E37" s="362"/>
      <c r="F37" s="360"/>
      <c r="G37" s="264" t="s">
        <v>112</v>
      </c>
      <c r="H37" s="113" t="s">
        <v>199</v>
      </c>
      <c r="I37" s="113"/>
      <c r="J37" s="113"/>
      <c r="K37" s="113"/>
      <c r="L37" s="113"/>
      <c r="M37" s="113"/>
      <c r="N37" s="268">
        <v>1234567916</v>
      </c>
      <c r="O37" s="209" t="s">
        <v>309</v>
      </c>
      <c r="P37" s="113"/>
      <c r="Q37" s="209"/>
      <c r="R37" s="350"/>
      <c r="S37" s="221"/>
      <c r="T37" s="113" t="s">
        <v>309</v>
      </c>
      <c r="U37" s="107"/>
      <c r="V37" s="451"/>
      <c r="W37" s="246"/>
      <c r="X37" s="350"/>
      <c r="Y37" s="113" t="str">
        <f>쿠폰Data!C16</f>
        <v>무료배송쿠폰</v>
      </c>
      <c r="Z37" s="113" t="str">
        <f>쿠폰Data!D16</f>
        <v>-</v>
      </c>
      <c r="AA37" s="113" t="str">
        <f>쿠폰Data!E16</f>
        <v>자사</v>
      </c>
      <c r="AB37" s="113" t="str">
        <f>쿠폰Data!F16</f>
        <v>A12345689</v>
      </c>
      <c r="AC37" s="107" t="str">
        <f>쿠폰Data!G16</f>
        <v>[자사] 배송비 무료</v>
      </c>
      <c r="AD37" s="451"/>
      <c r="AE37" s="246"/>
      <c r="AF37" s="350"/>
      <c r="AG37" s="246"/>
      <c r="AH37" s="113"/>
      <c r="AI37" s="113"/>
      <c r="AJ37" s="113"/>
      <c r="AK37" s="209" t="s">
        <v>309</v>
      </c>
      <c r="AL37" s="347"/>
      <c r="AM37" s="347"/>
      <c r="AN37" s="221"/>
      <c r="AO37" s="113"/>
      <c r="AP37" s="113"/>
      <c r="AQ37" s="113"/>
      <c r="AR37" s="113"/>
      <c r="AS37" s="467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  <c r="BK37" s="113"/>
      <c r="BL37" s="221"/>
      <c r="BM37" s="221"/>
      <c r="BN37" s="113"/>
      <c r="BO37" s="113"/>
      <c r="BP37" s="113"/>
      <c r="BQ37" s="113"/>
      <c r="BR37" s="113"/>
      <c r="BS37" s="113"/>
      <c r="BT37" s="113"/>
      <c r="BU37" s="113"/>
      <c r="BV37" s="113"/>
      <c r="BW37" s="262"/>
    </row>
    <row r="38" spans="2:75" ht="36.75" thickBot="1">
      <c r="B38" s="257">
        <v>17</v>
      </c>
      <c r="C38" s="257" t="s">
        <v>134</v>
      </c>
      <c r="D38" s="258" t="s">
        <v>112</v>
      </c>
      <c r="E38" s="257" t="s">
        <v>136</v>
      </c>
      <c r="F38" s="259"/>
      <c r="G38" s="257" t="s">
        <v>112</v>
      </c>
      <c r="H38" s="118" t="s">
        <v>199</v>
      </c>
      <c r="I38" s="118" t="s">
        <v>309</v>
      </c>
      <c r="J38" s="118" t="s">
        <v>201</v>
      </c>
      <c r="K38" s="118"/>
      <c r="L38" s="118"/>
      <c r="M38" s="118" t="s">
        <v>346</v>
      </c>
      <c r="N38" s="444" t="str">
        <f>상품Data!H32</f>
        <v>2000000025</v>
      </c>
      <c r="O38" s="210">
        <f>상품Data!S32</f>
        <v>17000</v>
      </c>
      <c r="P38" s="118">
        <v>1</v>
      </c>
      <c r="Q38" s="210">
        <f t="shared" si="0"/>
        <v>17000</v>
      </c>
      <c r="R38" s="266">
        <f>Q38</f>
        <v>17000</v>
      </c>
      <c r="S38" s="222" t="str">
        <f>프로모션Data!C6</f>
        <v>즉시할인</v>
      </c>
      <c r="T38" s="118">
        <f>프로모션Data!D6</f>
        <v>1234567891</v>
      </c>
      <c r="U38" s="108" t="str">
        <f>프로모션Data!E6</f>
        <v>[회원] 즉시할인_3,000원 정액 할인</v>
      </c>
      <c r="V38" s="452"/>
      <c r="W38" s="247">
        <v>3000</v>
      </c>
      <c r="X38" s="260">
        <f>W38</f>
        <v>3000</v>
      </c>
      <c r="Y38" s="118" t="str">
        <f>쿠폰Data!C5</f>
        <v>할인쿠폰</v>
      </c>
      <c r="Z38" s="118" t="str">
        <f>쿠폰Data!D5</f>
        <v>일반</v>
      </c>
      <c r="AA38" s="118" t="str">
        <f>쿠폰Data!E5</f>
        <v>자사</v>
      </c>
      <c r="AB38" s="118" t="str">
        <f>쿠폰Data!F5</f>
        <v>A12345678</v>
      </c>
      <c r="AC38" s="108" t="str">
        <f>쿠폰Data!G5</f>
        <v>[일반/자사/온라인] 20% 정률 할인(최대금액 제한없음)</v>
      </c>
      <c r="AD38" s="452">
        <v>0.2</v>
      </c>
      <c r="AE38" s="247">
        <f>ROUNDUP((Q38-W38)*AD38, -2)</f>
        <v>2800</v>
      </c>
      <c r="AF38" s="260">
        <f>AE38</f>
        <v>2800</v>
      </c>
      <c r="AG38" s="247">
        <f t="shared" si="1"/>
        <v>11200</v>
      </c>
      <c r="AH38" s="118" t="s">
        <v>356</v>
      </c>
      <c r="AI38" s="118" t="s">
        <v>199</v>
      </c>
      <c r="AJ38" s="118"/>
      <c r="AK38" s="210">
        <v>2500</v>
      </c>
      <c r="AL38" s="265">
        <f>AK38</f>
        <v>2500</v>
      </c>
      <c r="AM38" s="256">
        <f>R38-X38-AF38+AL38</f>
        <v>13700</v>
      </c>
      <c r="AN38" s="222">
        <v>3700</v>
      </c>
      <c r="AO38" s="118"/>
      <c r="AP38" s="118"/>
      <c r="AQ38" s="118" t="s">
        <v>359</v>
      </c>
      <c r="AR38" s="118"/>
      <c r="AS38" s="468">
        <f>AM38-AN38-AO38-AP38</f>
        <v>10000</v>
      </c>
      <c r="AT38" s="118"/>
      <c r="AU38" s="118"/>
      <c r="AV38" s="118" t="s">
        <v>529</v>
      </c>
      <c r="AW38" s="118" t="s">
        <v>529</v>
      </c>
      <c r="AX38" s="118"/>
      <c r="AY38" s="118"/>
      <c r="AZ38" s="118"/>
      <c r="BA38" s="118"/>
      <c r="BB38" s="118"/>
      <c r="BC38" s="118"/>
      <c r="BD38" s="118"/>
      <c r="BE38" s="118" t="s">
        <v>221</v>
      </c>
      <c r="BF38" s="118" t="s">
        <v>199</v>
      </c>
      <c r="BG38" s="118" t="s">
        <v>224</v>
      </c>
      <c r="BH38" s="118"/>
      <c r="BI38" s="118" t="s">
        <v>98</v>
      </c>
      <c r="BJ38" s="118" t="s">
        <v>228</v>
      </c>
      <c r="BK38" s="118"/>
      <c r="BL38" s="222" t="s">
        <v>98</v>
      </c>
      <c r="BM38" s="222" t="s">
        <v>98</v>
      </c>
      <c r="BN38" s="118"/>
      <c r="BO38" s="118"/>
      <c r="BP38" s="118" t="s">
        <v>359</v>
      </c>
      <c r="BQ38" s="118"/>
      <c r="BR38" s="118"/>
      <c r="BS38" s="118"/>
      <c r="BT38" s="118"/>
      <c r="BU38" s="118"/>
      <c r="BV38" s="118"/>
      <c r="BW38" s="100"/>
    </row>
    <row r="39" spans="2:75" ht="12.75" thickBot="1">
      <c r="B39" s="96">
        <v>18</v>
      </c>
      <c r="C39" s="96" t="s">
        <v>135</v>
      </c>
      <c r="D39" s="217" t="s">
        <v>112</v>
      </c>
      <c r="E39" s="96" t="s">
        <v>157</v>
      </c>
      <c r="F39" s="238"/>
      <c r="G39" s="96" t="s">
        <v>112</v>
      </c>
      <c r="H39" s="97" t="s">
        <v>199</v>
      </c>
      <c r="I39" s="97" t="s">
        <v>309</v>
      </c>
      <c r="J39" s="97" t="s">
        <v>201</v>
      </c>
      <c r="K39" s="97"/>
      <c r="L39" s="97"/>
      <c r="M39" s="97" t="s">
        <v>346</v>
      </c>
      <c r="N39" s="447" t="str">
        <f>상품Data!H33</f>
        <v>1000000004</v>
      </c>
      <c r="O39" s="211">
        <f>상품Data!S33</f>
        <v>22000</v>
      </c>
      <c r="P39" s="97">
        <v>2</v>
      </c>
      <c r="Q39" s="211">
        <f t="shared" si="0"/>
        <v>44000</v>
      </c>
      <c r="R39" s="253"/>
      <c r="S39" s="223"/>
      <c r="T39" s="97"/>
      <c r="U39" s="109"/>
      <c r="V39" s="453"/>
      <c r="W39" s="248">
        <f>Q39*V39</f>
        <v>0</v>
      </c>
      <c r="X39" s="253"/>
      <c r="Y39" s="97"/>
      <c r="Z39" s="97"/>
      <c r="AA39" s="97"/>
      <c r="AB39" s="97" t="s">
        <v>309</v>
      </c>
      <c r="AC39" s="109"/>
      <c r="AD39" s="453"/>
      <c r="AE39" s="248"/>
      <c r="AF39" s="253"/>
      <c r="AG39" s="248">
        <f t="shared" si="1"/>
        <v>22000</v>
      </c>
      <c r="AH39" s="97" t="s">
        <v>356</v>
      </c>
      <c r="AI39" s="97" t="s">
        <v>199</v>
      </c>
      <c r="AJ39" s="97"/>
      <c r="AK39" s="211">
        <v>2500</v>
      </c>
      <c r="AL39" s="252"/>
      <c r="AM39" s="251">
        <f>R39-X39-AF39+AL39</f>
        <v>0</v>
      </c>
      <c r="AN39" s="223"/>
      <c r="AO39" s="97"/>
      <c r="AP39" s="97"/>
      <c r="AQ39" s="97" t="s">
        <v>361</v>
      </c>
      <c r="AR39" s="97"/>
      <c r="AS39" s="469">
        <f>AM39-AN39-AO39-AP39</f>
        <v>0</v>
      </c>
      <c r="AT39" s="97"/>
      <c r="AU39" s="97"/>
      <c r="AV39" s="97" t="s">
        <v>98</v>
      </c>
      <c r="AW39" s="97"/>
      <c r="AX39" s="97"/>
      <c r="AY39" s="97"/>
      <c r="AZ39" s="97"/>
      <c r="BA39" s="97"/>
      <c r="BB39" s="97"/>
      <c r="BC39" s="97"/>
      <c r="BD39" s="97"/>
      <c r="BE39" s="97" t="s">
        <v>221</v>
      </c>
      <c r="BF39" s="97" t="s">
        <v>199</v>
      </c>
      <c r="BG39" s="97" t="s">
        <v>222</v>
      </c>
      <c r="BH39" s="97"/>
      <c r="BI39" s="97"/>
      <c r="BJ39" s="97"/>
      <c r="BK39" s="97"/>
      <c r="BL39" s="223"/>
      <c r="BM39" s="223"/>
      <c r="BN39" s="97"/>
      <c r="BO39" s="97"/>
      <c r="BP39" s="97" t="s">
        <v>361</v>
      </c>
      <c r="BQ39" s="97"/>
      <c r="BR39" s="97"/>
      <c r="BS39" s="97"/>
      <c r="BT39" s="97"/>
      <c r="BU39" s="97"/>
      <c r="BV39" s="97"/>
      <c r="BW39" s="98"/>
    </row>
    <row r="40" spans="2:75" ht="36">
      <c r="B40" s="361">
        <v>19</v>
      </c>
      <c r="C40" s="361" t="s">
        <v>138</v>
      </c>
      <c r="D40" s="369" t="s">
        <v>112</v>
      </c>
      <c r="E40" s="361" t="s">
        <v>157</v>
      </c>
      <c r="F40" s="359"/>
      <c r="G40" s="116" t="s">
        <v>112</v>
      </c>
      <c r="H40" s="114" t="s">
        <v>199</v>
      </c>
      <c r="I40" s="114" t="s">
        <v>309</v>
      </c>
      <c r="J40" s="114" t="s">
        <v>201</v>
      </c>
      <c r="K40" s="114"/>
      <c r="L40" s="114" t="s">
        <v>98</v>
      </c>
      <c r="M40" s="114" t="s">
        <v>346</v>
      </c>
      <c r="N40" s="440" t="str">
        <f>상품Data!H34</f>
        <v>2000000026</v>
      </c>
      <c r="O40" s="206">
        <f>상품Data!S34</f>
        <v>22000</v>
      </c>
      <c r="P40" s="114">
        <v>1</v>
      </c>
      <c r="Q40" s="206">
        <f t="shared" si="0"/>
        <v>22000</v>
      </c>
      <c r="R40" s="349">
        <f>SUM(Q40:Q41)</f>
        <v>38000</v>
      </c>
      <c r="S40" s="218" t="str">
        <f>프로모션Data!C8</f>
        <v>즉시할인</v>
      </c>
      <c r="T40" s="114">
        <f>프로모션Data!D8</f>
        <v>1234567893</v>
      </c>
      <c r="U40" s="104" t="str">
        <f>프로모션Data!E8</f>
        <v>[임직원] 임직원 할인_50% 정률 할인</v>
      </c>
      <c r="V40" s="448">
        <v>0.5</v>
      </c>
      <c r="W40" s="243">
        <f>ROUNDUP(Q40*V40, -2)</f>
        <v>11000</v>
      </c>
      <c r="X40" s="349">
        <f>SUM(W40:W41)</f>
        <v>11000</v>
      </c>
      <c r="Y40" s="114"/>
      <c r="Z40" s="114"/>
      <c r="AA40" s="114"/>
      <c r="AB40" s="114" t="s">
        <v>309</v>
      </c>
      <c r="AC40" s="104"/>
      <c r="AD40" s="448"/>
      <c r="AE40" s="243"/>
      <c r="AF40" s="349">
        <f>SUM(AE40:AE41)</f>
        <v>0</v>
      </c>
      <c r="AG40" s="243">
        <f t="shared" si="1"/>
        <v>11000</v>
      </c>
      <c r="AH40" s="114" t="s">
        <v>287</v>
      </c>
      <c r="AI40" s="114" t="s">
        <v>199</v>
      </c>
      <c r="AJ40" s="114" t="s">
        <v>283</v>
      </c>
      <c r="AK40" s="206">
        <v>0</v>
      </c>
      <c r="AL40" s="355">
        <f>SUM(AK40:AK41)</f>
        <v>0</v>
      </c>
      <c r="AM40" s="346">
        <f>R40-X40-AF40+AL40</f>
        <v>27000</v>
      </c>
      <c r="AN40" s="218"/>
      <c r="AO40" s="114"/>
      <c r="AP40" s="114"/>
      <c r="AQ40" s="114" t="s">
        <v>252</v>
      </c>
      <c r="AR40" s="114" t="s">
        <v>98</v>
      </c>
      <c r="AS40" s="464">
        <f>AM40-AN40-AO40-AP40</f>
        <v>27000</v>
      </c>
      <c r="AT40" s="114"/>
      <c r="AU40" s="114"/>
      <c r="AV40" s="114"/>
      <c r="AW40" s="114" t="s">
        <v>98</v>
      </c>
      <c r="AX40" s="114"/>
      <c r="AY40" s="114"/>
      <c r="AZ40" s="114"/>
      <c r="BA40" s="114"/>
      <c r="BB40" s="114"/>
      <c r="BC40" s="114"/>
      <c r="BD40" s="114"/>
      <c r="BE40" s="114" t="s">
        <v>220</v>
      </c>
      <c r="BF40" s="114" t="s">
        <v>199</v>
      </c>
      <c r="BG40" s="114" t="s">
        <v>225</v>
      </c>
      <c r="BH40" s="114"/>
      <c r="BI40" s="114" t="s">
        <v>98</v>
      </c>
      <c r="BJ40" s="114" t="s">
        <v>252</v>
      </c>
      <c r="BK40" s="114"/>
      <c r="BL40" s="218"/>
      <c r="BM40" s="218"/>
      <c r="BN40" s="114"/>
      <c r="BO40" s="114"/>
      <c r="BP40" s="114" t="s">
        <v>252</v>
      </c>
      <c r="BQ40" s="114"/>
      <c r="BR40" s="114"/>
      <c r="BS40" s="114"/>
      <c r="BT40" s="114"/>
      <c r="BU40" s="114"/>
      <c r="BV40" s="114"/>
      <c r="BW40" s="101"/>
    </row>
    <row r="41" spans="2:75" ht="12.75" thickBot="1">
      <c r="B41" s="362"/>
      <c r="C41" s="362"/>
      <c r="D41" s="370"/>
      <c r="E41" s="362"/>
      <c r="F41" s="360"/>
      <c r="G41" s="117" t="s">
        <v>112</v>
      </c>
      <c r="H41" s="115" t="s">
        <v>199</v>
      </c>
      <c r="I41" s="115" t="s">
        <v>309</v>
      </c>
      <c r="J41" s="115" t="s">
        <v>201</v>
      </c>
      <c r="K41" s="115"/>
      <c r="L41" s="115"/>
      <c r="M41" s="115" t="s">
        <v>346</v>
      </c>
      <c r="N41" s="441" t="str">
        <f>상품Data!H35</f>
        <v>2000000027</v>
      </c>
      <c r="O41" s="207">
        <f>상품Data!S35</f>
        <v>8000</v>
      </c>
      <c r="P41" s="115">
        <v>2</v>
      </c>
      <c r="Q41" s="207">
        <f t="shared" si="0"/>
        <v>16000</v>
      </c>
      <c r="R41" s="350"/>
      <c r="S41" s="219"/>
      <c r="T41" s="115"/>
      <c r="U41" s="105"/>
      <c r="V41" s="449"/>
      <c r="W41" s="244">
        <f>Q41*V41</f>
        <v>0</v>
      </c>
      <c r="X41" s="350"/>
      <c r="Y41" s="115"/>
      <c r="Z41" s="115"/>
      <c r="AA41" s="115"/>
      <c r="AB41" s="115" t="s">
        <v>309</v>
      </c>
      <c r="AC41" s="105"/>
      <c r="AD41" s="449"/>
      <c r="AE41" s="244"/>
      <c r="AF41" s="350"/>
      <c r="AG41" s="244">
        <f t="shared" si="1"/>
        <v>8000</v>
      </c>
      <c r="AH41" s="113"/>
      <c r="AI41" s="113"/>
      <c r="AJ41" s="113"/>
      <c r="AK41" s="209" t="s">
        <v>309</v>
      </c>
      <c r="AL41" s="356"/>
      <c r="AM41" s="347">
        <f>R41-X41-AF41+AL41</f>
        <v>0</v>
      </c>
      <c r="AN41" s="219"/>
      <c r="AO41" s="115"/>
      <c r="AP41" s="115"/>
      <c r="AQ41" s="115"/>
      <c r="AR41" s="115"/>
      <c r="AS41" s="46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219"/>
      <c r="BM41" s="219"/>
      <c r="BN41" s="115"/>
      <c r="BO41" s="115"/>
      <c r="BP41" s="115"/>
      <c r="BQ41" s="115"/>
      <c r="BR41" s="115"/>
      <c r="BS41" s="115"/>
      <c r="BT41" s="115"/>
      <c r="BU41" s="115"/>
      <c r="BV41" s="115"/>
      <c r="BW41" s="99"/>
    </row>
    <row r="42" spans="2:75" ht="24.75" thickBot="1">
      <c r="B42" s="96">
        <v>20</v>
      </c>
      <c r="C42" s="96" t="s">
        <v>139</v>
      </c>
      <c r="D42" s="217" t="s">
        <v>112</v>
      </c>
      <c r="E42" s="96" t="s">
        <v>158</v>
      </c>
      <c r="F42" s="238"/>
      <c r="G42" s="96" t="s">
        <v>112</v>
      </c>
      <c r="H42" s="97" t="s">
        <v>199</v>
      </c>
      <c r="I42" s="97" t="s">
        <v>309</v>
      </c>
      <c r="J42" s="97" t="s">
        <v>204</v>
      </c>
      <c r="K42" s="97"/>
      <c r="L42" s="97"/>
      <c r="M42" s="97" t="s">
        <v>347</v>
      </c>
      <c r="N42" s="447" t="str">
        <f>상품Data!H36</f>
        <v>2000000028</v>
      </c>
      <c r="O42" s="211">
        <f>상품Data!S36</f>
        <v>9000</v>
      </c>
      <c r="P42" s="97">
        <v>2</v>
      </c>
      <c r="Q42" s="211">
        <f t="shared" si="0"/>
        <v>18000</v>
      </c>
      <c r="R42" s="253">
        <f>Q42</f>
        <v>18000</v>
      </c>
      <c r="S42" s="223"/>
      <c r="T42" s="97" t="s">
        <v>309</v>
      </c>
      <c r="U42" s="109"/>
      <c r="V42" s="453"/>
      <c r="W42" s="248"/>
      <c r="X42" s="253">
        <f>W42</f>
        <v>0</v>
      </c>
      <c r="Y42" s="97" t="str">
        <f>쿠폰Data!C14</f>
        <v>제휴사 할인쿠폰</v>
      </c>
      <c r="Z42" s="97" t="str">
        <f>쿠폰Data!D14</f>
        <v>플러스</v>
      </c>
      <c r="AA42" s="97" t="str">
        <f>쿠폰Data!E14</f>
        <v>자사</v>
      </c>
      <c r="AB42" s="97" t="str">
        <f>쿠폰Data!F14</f>
        <v>A12345687</v>
      </c>
      <c r="AC42" s="109" t="str">
        <f>쿠폰Data!G14</f>
        <v>[플러스/자사/회원] 1,000원 정액 할인</v>
      </c>
      <c r="AD42" s="453"/>
      <c r="AE42" s="248">
        <v>1000</v>
      </c>
      <c r="AF42" s="253">
        <f>AE42</f>
        <v>1000</v>
      </c>
      <c r="AG42" s="248">
        <f t="shared" si="1"/>
        <v>8000</v>
      </c>
      <c r="AH42" s="97" t="s">
        <v>356</v>
      </c>
      <c r="AI42" s="97" t="s">
        <v>199</v>
      </c>
      <c r="AJ42" s="97"/>
      <c r="AK42" s="211">
        <v>2500</v>
      </c>
      <c r="AL42" s="252">
        <f>AK42</f>
        <v>2500</v>
      </c>
      <c r="AM42" s="251">
        <f>R42-X42-AF42+AL42</f>
        <v>19500</v>
      </c>
      <c r="AN42" s="223">
        <v>10000</v>
      </c>
      <c r="AO42" s="97">
        <v>500</v>
      </c>
      <c r="AP42" s="97"/>
      <c r="AQ42" s="97" t="s">
        <v>252</v>
      </c>
      <c r="AR42" s="97"/>
      <c r="AS42" s="469">
        <f>AM42-AN42-AO42-AP42</f>
        <v>9000</v>
      </c>
      <c r="AT42" s="97"/>
      <c r="AU42" s="97"/>
      <c r="AV42" s="97"/>
      <c r="AW42" s="97" t="s">
        <v>98</v>
      </c>
      <c r="AX42" s="97"/>
      <c r="AY42" s="97"/>
      <c r="AZ42" s="97"/>
      <c r="BA42" s="97"/>
      <c r="BB42" s="97"/>
      <c r="BC42" s="97"/>
      <c r="BD42" s="97"/>
      <c r="BE42" s="97" t="s">
        <v>220</v>
      </c>
      <c r="BF42" s="97" t="s">
        <v>199</v>
      </c>
      <c r="BG42" s="97" t="s">
        <v>223</v>
      </c>
      <c r="BH42" s="97"/>
      <c r="BI42" s="97"/>
      <c r="BJ42" s="97"/>
      <c r="BK42" s="97"/>
      <c r="BL42" s="223" t="s">
        <v>98</v>
      </c>
      <c r="BM42" s="223" t="s">
        <v>98</v>
      </c>
      <c r="BN42" s="97" t="s">
        <v>98</v>
      </c>
      <c r="BO42" s="97"/>
      <c r="BP42" s="97" t="s">
        <v>252</v>
      </c>
      <c r="BQ42" s="97"/>
      <c r="BR42" s="97"/>
      <c r="BS42" s="97"/>
      <c r="BT42" s="97"/>
      <c r="BU42" s="97"/>
      <c r="BV42" s="97"/>
      <c r="BW42" s="98"/>
    </row>
    <row r="43" spans="2:75" ht="48">
      <c r="B43" s="361">
        <v>21</v>
      </c>
      <c r="C43" s="361" t="s">
        <v>140</v>
      </c>
      <c r="D43" s="369" t="s">
        <v>112</v>
      </c>
      <c r="E43" s="361" t="s">
        <v>158</v>
      </c>
      <c r="F43" s="359"/>
      <c r="G43" s="263" t="s">
        <v>112</v>
      </c>
      <c r="H43" s="112" t="s">
        <v>199</v>
      </c>
      <c r="I43" s="112" t="s">
        <v>309</v>
      </c>
      <c r="J43" s="112" t="s">
        <v>201</v>
      </c>
      <c r="K43" s="112" t="s">
        <v>98</v>
      </c>
      <c r="L43" s="112"/>
      <c r="M43" s="112" t="s">
        <v>346</v>
      </c>
      <c r="N43" s="442" t="str">
        <f>상품Data!H37</f>
        <v>2000000029</v>
      </c>
      <c r="O43" s="208">
        <f>상품Data!S37</f>
        <v>10000</v>
      </c>
      <c r="P43" s="112">
        <v>1</v>
      </c>
      <c r="Q43" s="208">
        <f t="shared" si="0"/>
        <v>10000</v>
      </c>
      <c r="R43" s="349">
        <f>SUM(Q43:Q45)</f>
        <v>22000</v>
      </c>
      <c r="S43" s="220" t="str">
        <f>프로모션Data!C16</f>
        <v>상품 사은품 지급</v>
      </c>
      <c r="T43" s="112">
        <f>프로모션Data!D16</f>
        <v>1234567901</v>
      </c>
      <c r="U43" s="106" t="str">
        <f>프로모션Data!E16</f>
        <v>[비회원 제외] 상품 사은품_사은품명(사은품번호)</v>
      </c>
      <c r="V43" s="450"/>
      <c r="W43" s="245"/>
      <c r="X43" s="349">
        <f>SUM(W43:W45)</f>
        <v>0</v>
      </c>
      <c r="Y43" s="112" t="str">
        <f>쿠폰Data!C6</f>
        <v>할인쿠폰</v>
      </c>
      <c r="Z43" s="112" t="str">
        <f>쿠폰Data!D6</f>
        <v>일반</v>
      </c>
      <c r="AA43" s="112" t="str">
        <f>쿠폰Data!E6</f>
        <v>자사</v>
      </c>
      <c r="AB43" s="112" t="str">
        <f>쿠폰Data!F6</f>
        <v>A12345679</v>
      </c>
      <c r="AC43" s="106" t="str">
        <f>쿠폰Data!G6</f>
        <v>[일반/자사/통합멤버십] 3,000원 정액 할인</v>
      </c>
      <c r="AD43" s="450"/>
      <c r="AE43" s="245">
        <v>3000</v>
      </c>
      <c r="AF43" s="349">
        <f>SUM(AE43:AE45)</f>
        <v>5400</v>
      </c>
      <c r="AG43" s="245">
        <f t="shared" si="1"/>
        <v>7000</v>
      </c>
      <c r="AH43" s="112" t="s">
        <v>287</v>
      </c>
      <c r="AI43" s="112" t="s">
        <v>199</v>
      </c>
      <c r="AJ43" s="112"/>
      <c r="AK43" s="208">
        <v>2500</v>
      </c>
      <c r="AL43" s="355">
        <f>SUM(AK43:AK45)</f>
        <v>2500</v>
      </c>
      <c r="AM43" s="346">
        <f>R43-X43-AF43+AL43</f>
        <v>19100</v>
      </c>
      <c r="AN43" s="220"/>
      <c r="AO43" s="112">
        <v>100</v>
      </c>
      <c r="AP43" s="112"/>
      <c r="AQ43" s="112"/>
      <c r="AR43" s="112"/>
      <c r="AS43" s="466">
        <f>AM43-AN43-AO43-AP43</f>
        <v>19000</v>
      </c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 t="s">
        <v>221</v>
      </c>
      <c r="BF43" s="112" t="s">
        <v>199</v>
      </c>
      <c r="BG43" s="112" t="s">
        <v>227</v>
      </c>
      <c r="BH43" s="112"/>
      <c r="BI43" s="112" t="s">
        <v>98</v>
      </c>
      <c r="BJ43" s="112" t="s">
        <v>354</v>
      </c>
      <c r="BK43" s="112"/>
      <c r="BL43" s="220"/>
      <c r="BM43" s="220"/>
      <c r="BN43" s="112"/>
      <c r="BO43" s="112" t="s">
        <v>98</v>
      </c>
      <c r="BP43" s="112"/>
      <c r="BQ43" s="112"/>
      <c r="BR43" s="112"/>
      <c r="BS43" s="112"/>
      <c r="BT43" s="112"/>
      <c r="BU43" s="112"/>
      <c r="BV43" s="112"/>
      <c r="BW43" s="261"/>
    </row>
    <row r="44" spans="2:75" ht="13.5" customHeight="1">
      <c r="B44" s="363"/>
      <c r="C44" s="363"/>
      <c r="D44" s="371"/>
      <c r="E44" s="363"/>
      <c r="F44" s="364"/>
      <c r="G44" s="257" t="s">
        <v>112</v>
      </c>
      <c r="H44" s="118" t="s">
        <v>199</v>
      </c>
      <c r="I44" s="118" t="s">
        <v>309</v>
      </c>
      <c r="J44" s="118"/>
      <c r="K44" s="118"/>
      <c r="L44" s="118"/>
      <c r="M44" s="118"/>
      <c r="N44" s="269">
        <v>1234567922</v>
      </c>
      <c r="O44" s="210" t="s">
        <v>309</v>
      </c>
      <c r="P44" s="118"/>
      <c r="Q44" s="210" t="s">
        <v>309</v>
      </c>
      <c r="R44" s="351"/>
      <c r="S44" s="222"/>
      <c r="T44" s="118"/>
      <c r="U44" s="108"/>
      <c r="V44" s="452"/>
      <c r="W44" s="247"/>
      <c r="X44" s="351"/>
      <c r="Y44" s="118" t="str">
        <f>쿠폰Data!C18</f>
        <v>무료교환쿠폰</v>
      </c>
      <c r="Z44" s="118" t="str">
        <f>쿠폰Data!D18</f>
        <v>-</v>
      </c>
      <c r="AA44" s="118" t="str">
        <f>쿠폰Data!E18</f>
        <v>자사</v>
      </c>
      <c r="AB44" s="118" t="str">
        <f>쿠폰Data!F18</f>
        <v>A12345691</v>
      </c>
      <c r="AC44" s="204" t="str">
        <f>쿠폰Data!G18</f>
        <v>[자사] 교환배송비 무료</v>
      </c>
      <c r="AD44" s="454"/>
      <c r="AE44" s="247"/>
      <c r="AF44" s="351"/>
      <c r="AG44" s="247"/>
      <c r="AH44" s="224"/>
      <c r="AI44" s="224"/>
      <c r="AJ44" s="224"/>
      <c r="AK44" s="236" t="s">
        <v>309</v>
      </c>
      <c r="AL44" s="357"/>
      <c r="AM44" s="348">
        <f>R44-X44-AF44+AL44</f>
        <v>0</v>
      </c>
      <c r="AN44" s="222"/>
      <c r="AO44" s="118"/>
      <c r="AP44" s="118"/>
      <c r="AQ44" s="118"/>
      <c r="AR44" s="118"/>
      <c r="AS44" s="468"/>
      <c r="AT44" s="118"/>
      <c r="AU44" s="118"/>
      <c r="AV44" s="118"/>
      <c r="AW44" s="118"/>
      <c r="AX44" s="118"/>
      <c r="AY44" s="118"/>
      <c r="AZ44" s="118"/>
      <c r="BA44" s="118"/>
      <c r="BB44" s="118"/>
      <c r="BC44" s="118"/>
      <c r="BD44" s="118"/>
      <c r="BE44" s="118"/>
      <c r="BF44" s="118"/>
      <c r="BG44" s="118"/>
      <c r="BH44" s="118"/>
      <c r="BI44" s="118"/>
      <c r="BJ44" s="118"/>
      <c r="BK44" s="118"/>
      <c r="BL44" s="222"/>
      <c r="BM44" s="222"/>
      <c r="BN44" s="118"/>
      <c r="BO44" s="118"/>
      <c r="BP44" s="118"/>
      <c r="BQ44" s="118"/>
      <c r="BR44" s="118"/>
      <c r="BS44" s="118"/>
      <c r="BT44" s="118"/>
      <c r="BU44" s="118"/>
      <c r="BV44" s="118"/>
      <c r="BW44" s="100"/>
    </row>
    <row r="45" spans="2:75" ht="24.75" thickBot="1">
      <c r="B45" s="362"/>
      <c r="C45" s="362"/>
      <c r="D45" s="370"/>
      <c r="E45" s="362"/>
      <c r="F45" s="360"/>
      <c r="G45" s="264" t="s">
        <v>112</v>
      </c>
      <c r="H45" s="113" t="s">
        <v>199</v>
      </c>
      <c r="I45" s="113" t="s">
        <v>309</v>
      </c>
      <c r="J45" s="113" t="s">
        <v>201</v>
      </c>
      <c r="K45" s="113"/>
      <c r="L45" s="113"/>
      <c r="M45" s="113" t="s">
        <v>346</v>
      </c>
      <c r="N45" s="443" t="str">
        <f>상품Data!$H$38</f>
        <v>2000000030</v>
      </c>
      <c r="O45" s="209">
        <f>상품Data!$S$38</f>
        <v>4000</v>
      </c>
      <c r="P45" s="113">
        <v>3</v>
      </c>
      <c r="Q45" s="209">
        <f t="shared" si="0"/>
        <v>12000</v>
      </c>
      <c r="R45" s="350"/>
      <c r="S45" s="221"/>
      <c r="T45" s="113" t="s">
        <v>309</v>
      </c>
      <c r="U45" s="107"/>
      <c r="V45" s="451"/>
      <c r="W45" s="246"/>
      <c r="X45" s="350"/>
      <c r="Y45" s="113" t="str">
        <f>쿠폰Data!C22</f>
        <v>품절보상쿠폰</v>
      </c>
      <c r="Z45" s="113" t="str">
        <f>쿠폰Data!D22</f>
        <v>플러스</v>
      </c>
      <c r="AA45" s="113" t="str">
        <f>쿠폰Data!E22</f>
        <v>자사</v>
      </c>
      <c r="AB45" s="113" t="str">
        <f>쿠폰Data!F22</f>
        <v>A12345695</v>
      </c>
      <c r="AC45" s="107" t="str">
        <f>쿠폰Data!G22</f>
        <v>[자사] 품절보상 / 20% 정률 할인 / 1개 단품만 적용 가능</v>
      </c>
      <c r="AD45" s="451">
        <v>0.2</v>
      </c>
      <c r="AE45" s="246">
        <f>ROUNDUP((Q45-W45)*AD45, -2)</f>
        <v>2400</v>
      </c>
      <c r="AF45" s="350"/>
      <c r="AG45" s="246">
        <f t="shared" si="1"/>
        <v>1600</v>
      </c>
      <c r="AH45" s="113"/>
      <c r="AI45" s="113"/>
      <c r="AJ45" s="113"/>
      <c r="AK45" s="209" t="s">
        <v>309</v>
      </c>
      <c r="AL45" s="356"/>
      <c r="AM45" s="347">
        <f>R45-X45-AF45+AL45</f>
        <v>0</v>
      </c>
      <c r="AN45" s="221"/>
      <c r="AO45" s="113"/>
      <c r="AP45" s="113"/>
      <c r="AQ45" s="113"/>
      <c r="AR45" s="113"/>
      <c r="AS45" s="467"/>
      <c r="AT45" s="113"/>
      <c r="AU45" s="113"/>
      <c r="AV45" s="113"/>
      <c r="AW45" s="113"/>
      <c r="AX45" s="113"/>
      <c r="AY45" s="113"/>
      <c r="AZ45" s="113"/>
      <c r="BA45" s="113"/>
      <c r="BB45" s="113"/>
      <c r="BC45" s="113"/>
      <c r="BD45" s="113"/>
      <c r="BE45" s="113"/>
      <c r="BF45" s="113"/>
      <c r="BG45" s="113"/>
      <c r="BH45" s="113"/>
      <c r="BI45" s="113"/>
      <c r="BJ45" s="113"/>
      <c r="BK45" s="113"/>
      <c r="BL45" s="221"/>
      <c r="BM45" s="221"/>
      <c r="BN45" s="113"/>
      <c r="BO45" s="113"/>
      <c r="BP45" s="113"/>
      <c r="BQ45" s="113"/>
      <c r="BR45" s="113"/>
      <c r="BS45" s="113"/>
      <c r="BT45" s="113"/>
      <c r="BU45" s="113"/>
      <c r="BV45" s="113"/>
      <c r="BW45" s="262"/>
    </row>
    <row r="46" spans="2:75"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212"/>
      <c r="P46" s="73"/>
      <c r="Q46" s="73"/>
      <c r="R46" s="73"/>
      <c r="S46" s="73"/>
      <c r="T46" s="73"/>
      <c r="U46" s="110"/>
      <c r="V46" s="73"/>
      <c r="W46" s="249"/>
      <c r="X46" s="249"/>
      <c r="Y46" s="73"/>
      <c r="Z46" s="73"/>
      <c r="AA46" s="73"/>
      <c r="AB46" s="73"/>
      <c r="AC46" s="110"/>
      <c r="AD46" s="73"/>
      <c r="AE46" s="110"/>
      <c r="AF46" s="110"/>
      <c r="AG46" s="110"/>
      <c r="AH46" s="73"/>
      <c r="AI46" s="73"/>
      <c r="AJ46" s="73"/>
      <c r="AK46" s="212"/>
      <c r="AL46" s="212"/>
      <c r="AM46" s="212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73"/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</row>
  </sheetData>
  <mergeCells count="156">
    <mergeCell ref="BL7:BQ7"/>
    <mergeCell ref="G6:P6"/>
    <mergeCell ref="AG7:AG8"/>
    <mergeCell ref="C11:C12"/>
    <mergeCell ref="C20:C21"/>
    <mergeCell ref="C22:C23"/>
    <mergeCell ref="C27:C28"/>
    <mergeCell ref="AM14:AM15"/>
    <mergeCell ref="B25:B26"/>
    <mergeCell ref="AL25:AL26"/>
    <mergeCell ref="BR7:BW7"/>
    <mergeCell ref="AH7:AL7"/>
    <mergeCell ref="E7:F7"/>
    <mergeCell ref="BE7:BI7"/>
    <mergeCell ref="AT7:AX7"/>
    <mergeCell ref="AY7:BD7"/>
    <mergeCell ref="AM7:AM8"/>
    <mergeCell ref="F25:F26"/>
    <mergeCell ref="R25:R26"/>
    <mergeCell ref="BJ7:BK7"/>
    <mergeCell ref="AF25:AF26"/>
    <mergeCell ref="AM9:AM10"/>
    <mergeCell ref="AM18:AM19"/>
    <mergeCell ref="AM11:AM12"/>
    <mergeCell ref="AM16:AM17"/>
    <mergeCell ref="B14:B15"/>
    <mergeCell ref="AM43:AM45"/>
    <mergeCell ref="C43:C45"/>
    <mergeCell ref="D43:D45"/>
    <mergeCell ref="E43:E45"/>
    <mergeCell ref="F43:F45"/>
    <mergeCell ref="B16:B17"/>
    <mergeCell ref="C16:C17"/>
    <mergeCell ref="D16:D17"/>
    <mergeCell ref="F27:F28"/>
    <mergeCell ref="F36:F37"/>
    <mergeCell ref="E36:E37"/>
    <mergeCell ref="D36:D37"/>
    <mergeCell ref="C36:C37"/>
    <mergeCell ref="B36:B37"/>
    <mergeCell ref="R36:R37"/>
    <mergeCell ref="AM36:AM37"/>
    <mergeCell ref="AL36:AL37"/>
    <mergeCell ref="AF36:AF37"/>
    <mergeCell ref="X36:X37"/>
    <mergeCell ref="AM34:AM35"/>
    <mergeCell ref="C34:C35"/>
    <mergeCell ref="C40:C41"/>
    <mergeCell ref="D40:D41"/>
    <mergeCell ref="E40:E41"/>
    <mergeCell ref="F40:F41"/>
    <mergeCell ref="D34:D35"/>
    <mergeCell ref="E34:E35"/>
    <mergeCell ref="F34:F35"/>
    <mergeCell ref="AL34:AL35"/>
    <mergeCell ref="AF34:AF35"/>
    <mergeCell ref="AM40:AM41"/>
    <mergeCell ref="X34:X35"/>
    <mergeCell ref="X40:X41"/>
    <mergeCell ref="B40:B41"/>
    <mergeCell ref="B43:B45"/>
    <mergeCell ref="AN7:AP7"/>
    <mergeCell ref="AQ7:AS7"/>
    <mergeCell ref="AL40:AL41"/>
    <mergeCell ref="AF40:AF41"/>
    <mergeCell ref="AL43:AL45"/>
    <mergeCell ref="AF43:AF45"/>
    <mergeCell ref="B20:B21"/>
    <mergeCell ref="B22:B23"/>
    <mergeCell ref="B27:B28"/>
    <mergeCell ref="B34:B35"/>
    <mergeCell ref="B9:B10"/>
    <mergeCell ref="B11:B12"/>
    <mergeCell ref="B18:B19"/>
    <mergeCell ref="AL9:AL10"/>
    <mergeCell ref="AF9:AF10"/>
    <mergeCell ref="C9:C10"/>
    <mergeCell ref="D9:D10"/>
    <mergeCell ref="E9:E10"/>
    <mergeCell ref="F9:F10"/>
    <mergeCell ref="D11:D12"/>
    <mergeCell ref="E11:E12"/>
    <mergeCell ref="F11:F12"/>
    <mergeCell ref="B29:B31"/>
    <mergeCell ref="C14:C15"/>
    <mergeCell ref="D14:D15"/>
    <mergeCell ref="D20:D21"/>
    <mergeCell ref="D22:D23"/>
    <mergeCell ref="D27:D28"/>
    <mergeCell ref="C29:C31"/>
    <mergeCell ref="D29:D31"/>
    <mergeCell ref="C18:C19"/>
    <mergeCell ref="D18:D19"/>
    <mergeCell ref="C25:C26"/>
    <mergeCell ref="D25:D26"/>
    <mergeCell ref="F14:F15"/>
    <mergeCell ref="E20:E21"/>
    <mergeCell ref="F20:F21"/>
    <mergeCell ref="E22:E23"/>
    <mergeCell ref="F22:F23"/>
    <mergeCell ref="E27:E28"/>
    <mergeCell ref="E29:E31"/>
    <mergeCell ref="F29:F31"/>
    <mergeCell ref="G7:R7"/>
    <mergeCell ref="R9:R10"/>
    <mergeCell ref="R11:R12"/>
    <mergeCell ref="R14:R15"/>
    <mergeCell ref="R16:R17"/>
    <mergeCell ref="R18:R19"/>
    <mergeCell ref="R20:R21"/>
    <mergeCell ref="R22:R23"/>
    <mergeCell ref="R27:R28"/>
    <mergeCell ref="R29:R31"/>
    <mergeCell ref="E16:E17"/>
    <mergeCell ref="F16:F17"/>
    <mergeCell ref="E14:E15"/>
    <mergeCell ref="E18:E19"/>
    <mergeCell ref="F18:F19"/>
    <mergeCell ref="E25:E26"/>
    <mergeCell ref="X43:X45"/>
    <mergeCell ref="R34:R35"/>
    <mergeCell ref="R40:R41"/>
    <mergeCell ref="R43:R45"/>
    <mergeCell ref="S7:X7"/>
    <mergeCell ref="AL14:AL15"/>
    <mergeCell ref="AL16:AL17"/>
    <mergeCell ref="AL18:AL19"/>
    <mergeCell ref="AL20:AL21"/>
    <mergeCell ref="AL22:AL23"/>
    <mergeCell ref="AL27:AL28"/>
    <mergeCell ref="AL29:AL31"/>
    <mergeCell ref="AL11:AL12"/>
    <mergeCell ref="AF11:AF12"/>
    <mergeCell ref="AF14:AF15"/>
    <mergeCell ref="AF16:AF17"/>
    <mergeCell ref="AF18:AF19"/>
    <mergeCell ref="AF20:AF21"/>
    <mergeCell ref="AF22:AF23"/>
    <mergeCell ref="AF27:AF28"/>
    <mergeCell ref="AF29:AF31"/>
    <mergeCell ref="Y7:AF7"/>
    <mergeCell ref="AM20:AM21"/>
    <mergeCell ref="AM22:AM23"/>
    <mergeCell ref="AM25:AM26"/>
    <mergeCell ref="AM27:AM28"/>
    <mergeCell ref="AM29:AM31"/>
    <mergeCell ref="X9:X10"/>
    <mergeCell ref="X11:X12"/>
    <mergeCell ref="X14:X15"/>
    <mergeCell ref="X16:X17"/>
    <mergeCell ref="X18:X19"/>
    <mergeCell ref="X20:X21"/>
    <mergeCell ref="X22:X23"/>
    <mergeCell ref="X25:X26"/>
    <mergeCell ref="X27:X28"/>
    <mergeCell ref="X29:X31"/>
  </mergeCells>
  <phoneticPr fontId="3" type="noConversion"/>
  <conditionalFormatting sqref="G9:Q100 AH9:AK100 Y9:AE100 S9:W100 AN9:BK26 AN28:BK100 AN27:BF27 BH27:BK27 BN9:BW100">
    <cfRule type="expression" dxfId="34" priority="12">
      <formula>$H9="입점"</formula>
    </cfRule>
  </conditionalFormatting>
  <conditionalFormatting sqref="AG9:AG100">
    <cfRule type="expression" dxfId="33" priority="3">
      <formula>$H9="입점"</formula>
    </cfRule>
  </conditionalFormatting>
  <conditionalFormatting sqref="BL9:BL100">
    <cfRule type="expression" dxfId="32" priority="2">
      <formula>$H9="입점"</formula>
    </cfRule>
  </conditionalFormatting>
  <conditionalFormatting sqref="BM9:BM100">
    <cfRule type="expression" dxfId="31" priority="1">
      <formula>$H9="입점"</formula>
    </cfRule>
  </conditionalFormatting>
  <pageMargins left="0.70866141732283472" right="0.70866141732283472" top="0.74803149606299213" bottom="0.74803149606299213" header="0.31496062992125984" footer="0.31496062992125984"/>
  <pageSetup paperSize="9" orientation="landscape" verticalDpi="4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CFCF-6C7C-4910-8563-259C7F097B4C}">
  <dimension ref="B7:F16"/>
  <sheetViews>
    <sheetView workbookViewId="0">
      <selection activeCell="E27" sqref="E27"/>
    </sheetView>
  </sheetViews>
  <sheetFormatPr defaultRowHeight="13.5"/>
  <cols>
    <col min="1" max="1" width="2.77734375" customWidth="1"/>
    <col min="2" max="2" width="5.77734375" customWidth="1"/>
    <col min="3" max="4" width="15.77734375" customWidth="1"/>
    <col min="5" max="5" width="40.77734375" customWidth="1"/>
    <col min="6" max="6" width="35.6640625" customWidth="1"/>
  </cols>
  <sheetData>
    <row r="7" spans="2:6" ht="17.25">
      <c r="B7" s="275" t="s">
        <v>391</v>
      </c>
      <c r="C7" s="276"/>
      <c r="D7" s="276"/>
      <c r="E7" s="276"/>
      <c r="F7" s="276"/>
    </row>
    <row r="8" spans="2:6">
      <c r="B8" s="37"/>
      <c r="C8" s="37"/>
      <c r="D8" s="38"/>
      <c r="E8" s="38"/>
    </row>
    <row r="9" spans="2:6">
      <c r="B9" s="277" t="s">
        <v>365</v>
      </c>
      <c r="C9" s="278" t="s">
        <v>392</v>
      </c>
      <c r="D9" s="277" t="s">
        <v>169</v>
      </c>
      <c r="E9" s="277" t="s">
        <v>393</v>
      </c>
      <c r="F9" s="277" t="s">
        <v>20</v>
      </c>
    </row>
    <row r="10" spans="2:6">
      <c r="B10" s="279">
        <v>1</v>
      </c>
      <c r="C10" s="383" t="s">
        <v>394</v>
      </c>
      <c r="D10" s="280" t="s">
        <v>395</v>
      </c>
      <c r="E10" s="204" t="s">
        <v>396</v>
      </c>
      <c r="F10" s="281"/>
    </row>
    <row r="11" spans="2:6">
      <c r="B11" s="279">
        <v>2</v>
      </c>
      <c r="C11" s="384"/>
      <c r="D11" s="280" t="s">
        <v>397</v>
      </c>
      <c r="E11" s="204" t="s">
        <v>398</v>
      </c>
      <c r="F11" s="281"/>
    </row>
    <row r="12" spans="2:6">
      <c r="B12" s="279">
        <v>3</v>
      </c>
      <c r="C12" s="384"/>
      <c r="D12" s="280" t="s">
        <v>399</v>
      </c>
      <c r="E12" s="204" t="s">
        <v>400</v>
      </c>
      <c r="F12" s="281"/>
    </row>
    <row r="13" spans="2:6">
      <c r="B13" s="279">
        <v>4</v>
      </c>
      <c r="C13" s="384"/>
      <c r="D13" s="280" t="s">
        <v>401</v>
      </c>
      <c r="E13" s="204" t="s">
        <v>402</v>
      </c>
      <c r="F13" s="281"/>
    </row>
    <row r="14" spans="2:6">
      <c r="B14" s="279">
        <v>5</v>
      </c>
      <c r="C14" s="383" t="s">
        <v>403</v>
      </c>
      <c r="D14" s="280" t="s">
        <v>404</v>
      </c>
      <c r="E14" s="204" t="s">
        <v>405</v>
      </c>
      <c r="F14" s="281"/>
    </row>
    <row r="15" spans="2:6">
      <c r="B15" s="279">
        <v>6</v>
      </c>
      <c r="C15" s="384"/>
      <c r="D15" s="280" t="s">
        <v>406</v>
      </c>
      <c r="E15" s="204" t="s">
        <v>407</v>
      </c>
      <c r="F15" s="281"/>
    </row>
    <row r="16" spans="2:6">
      <c r="B16" s="279">
        <v>7</v>
      </c>
      <c r="C16" s="385"/>
      <c r="D16" s="280" t="s">
        <v>408</v>
      </c>
      <c r="E16" s="204" t="s">
        <v>409</v>
      </c>
      <c r="F16" s="281"/>
    </row>
  </sheetData>
  <mergeCells count="2">
    <mergeCell ref="C10:C13"/>
    <mergeCell ref="C14:C16"/>
  </mergeCells>
  <phoneticPr fontId="3" type="noConversion"/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C59A6-C2FC-455C-992F-788629221A3D}">
  <dimension ref="A1:Q80"/>
  <sheetViews>
    <sheetView workbookViewId="0">
      <selection activeCell="O19" sqref="O19"/>
    </sheetView>
  </sheetViews>
  <sheetFormatPr defaultColWidth="8.88671875" defaultRowHeight="13.5"/>
  <cols>
    <col min="1" max="1" width="2.77734375" style="82" customWidth="1"/>
    <col min="2" max="2" width="5.77734375" style="83" customWidth="1"/>
    <col min="3" max="3" width="6.77734375" style="83" customWidth="1"/>
    <col min="4" max="4" width="10.77734375" style="83" customWidth="1"/>
    <col min="5" max="5" width="20.77734375" style="83" customWidth="1"/>
    <col min="6" max="7" width="5.77734375" style="83" customWidth="1"/>
    <col min="8" max="8" width="15.77734375" style="82" customWidth="1"/>
    <col min="9" max="9" width="25.77734375" style="82" customWidth="1"/>
    <col min="10" max="10" width="15.77734375" style="82" customWidth="1"/>
    <col min="11" max="11" width="25.77734375" style="82" customWidth="1"/>
    <col min="12" max="14" width="8.77734375" style="82" customWidth="1"/>
    <col min="15" max="15" width="30.77734375" style="82" customWidth="1"/>
    <col min="16" max="16384" width="8.88671875" style="82"/>
  </cols>
  <sheetData>
    <row r="1" spans="1:12" ht="66" customHeight="1">
      <c r="B1" s="32"/>
      <c r="C1" s="32"/>
      <c r="D1" s="84"/>
      <c r="E1" s="84"/>
      <c r="F1" s="84"/>
      <c r="G1" s="84"/>
      <c r="H1" s="85"/>
      <c r="I1" s="85"/>
      <c r="J1" s="85"/>
      <c r="K1" s="85"/>
    </row>
    <row r="2" spans="1:12" ht="27">
      <c r="A2" s="86"/>
      <c r="B2" s="282" t="s">
        <v>163</v>
      </c>
      <c r="C2" s="389" t="s">
        <v>410</v>
      </c>
      <c r="D2" s="390"/>
      <c r="E2" s="390"/>
      <c r="F2" s="390"/>
      <c r="G2" s="390"/>
      <c r="H2" s="390"/>
      <c r="I2" s="390"/>
      <c r="J2" s="390"/>
      <c r="K2" s="391"/>
      <c r="L2" s="34"/>
    </row>
    <row r="3" spans="1:12" ht="7.5" customHeight="1">
      <c r="B3" s="37"/>
      <c r="C3" s="37"/>
      <c r="D3" s="38"/>
      <c r="E3" s="38"/>
      <c r="F3" s="38"/>
      <c r="G3" s="38"/>
      <c r="H3" s="39"/>
      <c r="I3" s="39"/>
      <c r="J3" s="39"/>
      <c r="K3" s="39"/>
    </row>
    <row r="4" spans="1:12">
      <c r="A4" s="86"/>
      <c r="B4" s="392" t="s">
        <v>43</v>
      </c>
      <c r="C4" s="393"/>
      <c r="D4" s="393"/>
      <c r="E4" s="393"/>
      <c r="F4" s="393"/>
      <c r="G4" s="393"/>
      <c r="H4" s="393"/>
      <c r="I4" s="393"/>
      <c r="J4" s="393"/>
      <c r="K4" s="394"/>
      <c r="L4" s="34"/>
    </row>
    <row r="5" spans="1:12">
      <c r="A5" s="86"/>
      <c r="B5" s="395"/>
      <c r="C5" s="396"/>
      <c r="D5" s="396"/>
      <c r="E5" s="396"/>
      <c r="F5" s="396"/>
      <c r="G5" s="396"/>
      <c r="H5" s="396"/>
      <c r="I5" s="396"/>
      <c r="J5" s="396"/>
      <c r="K5" s="397"/>
      <c r="L5" s="34"/>
    </row>
    <row r="6" spans="1:12">
      <c r="A6" s="86"/>
      <c r="B6" s="395"/>
      <c r="C6" s="396"/>
      <c r="D6" s="396"/>
      <c r="E6" s="396"/>
      <c r="F6" s="396"/>
      <c r="G6" s="396"/>
      <c r="H6" s="396"/>
      <c r="I6" s="396"/>
      <c r="J6" s="396"/>
      <c r="K6" s="397"/>
      <c r="L6" s="34"/>
    </row>
    <row r="7" spans="1:12">
      <c r="A7" s="86"/>
      <c r="B7" s="395"/>
      <c r="C7" s="396"/>
      <c r="D7" s="396"/>
      <c r="E7" s="396"/>
      <c r="F7" s="396"/>
      <c r="G7" s="396"/>
      <c r="H7" s="396"/>
      <c r="I7" s="396"/>
      <c r="J7" s="396"/>
      <c r="K7" s="397"/>
      <c r="L7" s="34"/>
    </row>
    <row r="8" spans="1:12">
      <c r="A8" s="86"/>
      <c r="B8" s="395"/>
      <c r="C8" s="396"/>
      <c r="D8" s="396"/>
      <c r="E8" s="396"/>
      <c r="F8" s="396"/>
      <c r="G8" s="396"/>
      <c r="H8" s="396"/>
      <c r="I8" s="396"/>
      <c r="J8" s="396"/>
      <c r="K8" s="397"/>
      <c r="L8" s="34"/>
    </row>
    <row r="9" spans="1:12">
      <c r="A9" s="86"/>
      <c r="B9" s="395"/>
      <c r="C9" s="396"/>
      <c r="D9" s="396"/>
      <c r="E9" s="396"/>
      <c r="F9" s="396"/>
      <c r="G9" s="396"/>
      <c r="H9" s="396"/>
      <c r="I9" s="396"/>
      <c r="J9" s="396"/>
      <c r="K9" s="397"/>
      <c r="L9" s="34"/>
    </row>
    <row r="10" spans="1:12">
      <c r="A10" s="86"/>
      <c r="B10" s="395"/>
      <c r="C10" s="396"/>
      <c r="D10" s="396"/>
      <c r="E10" s="396"/>
      <c r="F10" s="396"/>
      <c r="G10" s="396"/>
      <c r="H10" s="396"/>
      <c r="I10" s="396"/>
      <c r="J10" s="396"/>
      <c r="K10" s="397"/>
      <c r="L10" s="34"/>
    </row>
    <row r="11" spans="1:12">
      <c r="A11" s="86"/>
      <c r="B11" s="395"/>
      <c r="C11" s="396"/>
      <c r="D11" s="396"/>
      <c r="E11" s="396"/>
      <c r="F11" s="396"/>
      <c r="G11" s="396"/>
      <c r="H11" s="396"/>
      <c r="I11" s="396"/>
      <c r="J11" s="396"/>
      <c r="K11" s="397"/>
      <c r="L11" s="34"/>
    </row>
    <row r="12" spans="1:12">
      <c r="A12" s="86"/>
      <c r="B12" s="395"/>
      <c r="C12" s="396"/>
      <c r="D12" s="396"/>
      <c r="E12" s="396"/>
      <c r="F12" s="396"/>
      <c r="G12" s="396"/>
      <c r="H12" s="396"/>
      <c r="I12" s="396"/>
      <c r="J12" s="396"/>
      <c r="K12" s="397"/>
      <c r="L12" s="34"/>
    </row>
    <row r="13" spans="1:12">
      <c r="A13" s="86"/>
      <c r="B13" s="395"/>
      <c r="C13" s="396"/>
      <c r="D13" s="396"/>
      <c r="E13" s="396"/>
      <c r="F13" s="396"/>
      <c r="G13" s="396"/>
      <c r="H13" s="396"/>
      <c r="I13" s="396"/>
      <c r="J13" s="396"/>
      <c r="K13" s="397"/>
      <c r="L13" s="34"/>
    </row>
    <row r="14" spans="1:12">
      <c r="A14" s="86"/>
      <c r="B14" s="395"/>
      <c r="C14" s="396"/>
      <c r="D14" s="396"/>
      <c r="E14" s="396"/>
      <c r="F14" s="396"/>
      <c r="G14" s="396"/>
      <c r="H14" s="396"/>
      <c r="I14" s="396"/>
      <c r="J14" s="396"/>
      <c r="K14" s="397"/>
      <c r="L14" s="34"/>
    </row>
    <row r="15" spans="1:12">
      <c r="A15" s="86"/>
      <c r="B15" s="395"/>
      <c r="C15" s="396"/>
      <c r="D15" s="396"/>
      <c r="E15" s="396"/>
      <c r="F15" s="396"/>
      <c r="G15" s="396"/>
      <c r="H15" s="396"/>
      <c r="I15" s="396"/>
      <c r="J15" s="396"/>
      <c r="K15" s="397"/>
      <c r="L15" s="34"/>
    </row>
    <row r="16" spans="1:12">
      <c r="A16" s="86"/>
      <c r="B16" s="395"/>
      <c r="C16" s="396"/>
      <c r="D16" s="396"/>
      <c r="E16" s="396"/>
      <c r="F16" s="396"/>
      <c r="G16" s="396"/>
      <c r="H16" s="396"/>
      <c r="I16" s="396"/>
      <c r="J16" s="396"/>
      <c r="K16" s="397"/>
      <c r="L16" s="34"/>
    </row>
    <row r="17" spans="1:12">
      <c r="A17" s="86"/>
      <c r="B17" s="395"/>
      <c r="C17" s="396"/>
      <c r="D17" s="396"/>
      <c r="E17" s="396"/>
      <c r="F17" s="396"/>
      <c r="G17" s="396"/>
      <c r="H17" s="396"/>
      <c r="I17" s="396"/>
      <c r="J17" s="396"/>
      <c r="K17" s="397"/>
      <c r="L17" s="34"/>
    </row>
    <row r="18" spans="1:12">
      <c r="A18" s="86"/>
      <c r="B18" s="395"/>
      <c r="C18" s="396"/>
      <c r="D18" s="396"/>
      <c r="E18" s="396"/>
      <c r="F18" s="396"/>
      <c r="G18" s="396"/>
      <c r="H18" s="396"/>
      <c r="I18" s="396"/>
      <c r="J18" s="396"/>
      <c r="K18" s="397"/>
      <c r="L18" s="34"/>
    </row>
    <row r="19" spans="1:12">
      <c r="A19" s="86"/>
      <c r="B19" s="395"/>
      <c r="C19" s="396"/>
      <c r="D19" s="396"/>
      <c r="E19" s="396"/>
      <c r="F19" s="396"/>
      <c r="G19" s="396"/>
      <c r="H19" s="396"/>
      <c r="I19" s="396"/>
      <c r="J19" s="396"/>
      <c r="K19" s="397"/>
      <c r="L19" s="34"/>
    </row>
    <row r="20" spans="1:12">
      <c r="A20" s="86"/>
      <c r="B20" s="395"/>
      <c r="C20" s="396"/>
      <c r="D20" s="396"/>
      <c r="E20" s="396"/>
      <c r="F20" s="396"/>
      <c r="G20" s="396"/>
      <c r="H20" s="396"/>
      <c r="I20" s="396"/>
      <c r="J20" s="396"/>
      <c r="K20" s="397"/>
      <c r="L20" s="34"/>
    </row>
    <row r="21" spans="1:12">
      <c r="A21" s="86"/>
      <c r="B21" s="395"/>
      <c r="C21" s="396"/>
      <c r="D21" s="396"/>
      <c r="E21" s="396"/>
      <c r="F21" s="396"/>
      <c r="G21" s="396"/>
      <c r="H21" s="396"/>
      <c r="I21" s="396"/>
      <c r="J21" s="396"/>
      <c r="K21" s="397"/>
      <c r="L21" s="34"/>
    </row>
    <row r="22" spans="1:12">
      <c r="A22" s="86"/>
      <c r="B22" s="395"/>
      <c r="C22" s="396"/>
      <c r="D22" s="396"/>
      <c r="E22" s="396"/>
      <c r="F22" s="396"/>
      <c r="G22" s="396"/>
      <c r="H22" s="396"/>
      <c r="I22" s="396"/>
      <c r="J22" s="396"/>
      <c r="K22" s="397"/>
      <c r="L22" s="34"/>
    </row>
    <row r="23" spans="1:12">
      <c r="A23" s="86"/>
      <c r="B23" s="395"/>
      <c r="C23" s="396"/>
      <c r="D23" s="396"/>
      <c r="E23" s="396"/>
      <c r="F23" s="396"/>
      <c r="G23" s="396"/>
      <c r="H23" s="396"/>
      <c r="I23" s="396"/>
      <c r="J23" s="396"/>
      <c r="K23" s="397"/>
      <c r="L23" s="34"/>
    </row>
    <row r="24" spans="1:12">
      <c r="A24" s="86"/>
      <c r="B24" s="395"/>
      <c r="C24" s="396"/>
      <c r="D24" s="396"/>
      <c r="E24" s="396"/>
      <c r="F24" s="396"/>
      <c r="G24" s="396"/>
      <c r="H24" s="396"/>
      <c r="I24" s="396"/>
      <c r="J24" s="396"/>
      <c r="K24" s="397"/>
      <c r="L24" s="34"/>
    </row>
    <row r="25" spans="1:12">
      <c r="A25" s="86"/>
      <c r="B25" s="395"/>
      <c r="C25" s="396"/>
      <c r="D25" s="396"/>
      <c r="E25" s="396"/>
      <c r="F25" s="396"/>
      <c r="G25" s="396"/>
      <c r="H25" s="396"/>
      <c r="I25" s="396"/>
      <c r="J25" s="396"/>
      <c r="K25" s="397"/>
      <c r="L25" s="34"/>
    </row>
    <row r="26" spans="1:12">
      <c r="A26" s="86"/>
      <c r="B26" s="395"/>
      <c r="C26" s="396"/>
      <c r="D26" s="396"/>
      <c r="E26" s="396"/>
      <c r="F26" s="396"/>
      <c r="G26" s="396"/>
      <c r="H26" s="396"/>
      <c r="I26" s="396"/>
      <c r="J26" s="396"/>
      <c r="K26" s="397"/>
      <c r="L26" s="34"/>
    </row>
    <row r="27" spans="1:12">
      <c r="A27" s="86"/>
      <c r="B27" s="395"/>
      <c r="C27" s="396"/>
      <c r="D27" s="396"/>
      <c r="E27" s="396"/>
      <c r="F27" s="396"/>
      <c r="G27" s="396"/>
      <c r="H27" s="396"/>
      <c r="I27" s="396"/>
      <c r="J27" s="396"/>
      <c r="K27" s="397"/>
      <c r="L27" s="34"/>
    </row>
    <row r="28" spans="1:12">
      <c r="A28" s="86"/>
      <c r="B28" s="395"/>
      <c r="C28" s="396"/>
      <c r="D28" s="396"/>
      <c r="E28" s="396"/>
      <c r="F28" s="396"/>
      <c r="G28" s="396"/>
      <c r="H28" s="396"/>
      <c r="I28" s="396"/>
      <c r="J28" s="396"/>
      <c r="K28" s="397"/>
      <c r="L28" s="34"/>
    </row>
    <row r="29" spans="1:12">
      <c r="A29" s="86"/>
      <c r="B29" s="395"/>
      <c r="C29" s="396"/>
      <c r="D29" s="396"/>
      <c r="E29" s="396"/>
      <c r="F29" s="396"/>
      <c r="G29" s="396"/>
      <c r="H29" s="396"/>
      <c r="I29" s="396"/>
      <c r="J29" s="396"/>
      <c r="K29" s="397"/>
      <c r="L29" s="34"/>
    </row>
    <row r="30" spans="1:12">
      <c r="A30" s="86"/>
      <c r="B30" s="395"/>
      <c r="C30" s="396"/>
      <c r="D30" s="396"/>
      <c r="E30" s="396"/>
      <c r="F30" s="396"/>
      <c r="G30" s="396"/>
      <c r="H30" s="396"/>
      <c r="I30" s="396"/>
      <c r="J30" s="396"/>
      <c r="K30" s="397"/>
      <c r="L30" s="34"/>
    </row>
    <row r="31" spans="1:12">
      <c r="A31" s="86"/>
      <c r="B31" s="395"/>
      <c r="C31" s="396"/>
      <c r="D31" s="396"/>
      <c r="E31" s="396"/>
      <c r="F31" s="396"/>
      <c r="G31" s="396"/>
      <c r="H31" s="396"/>
      <c r="I31" s="396"/>
      <c r="J31" s="396"/>
      <c r="K31" s="397"/>
      <c r="L31" s="34"/>
    </row>
    <row r="32" spans="1:12">
      <c r="A32" s="86"/>
      <c r="B32" s="395"/>
      <c r="C32" s="396"/>
      <c r="D32" s="396"/>
      <c r="E32" s="396"/>
      <c r="F32" s="396"/>
      <c r="G32" s="396"/>
      <c r="H32" s="396"/>
      <c r="I32" s="396"/>
      <c r="J32" s="396"/>
      <c r="K32" s="397"/>
      <c r="L32" s="34"/>
    </row>
    <row r="33" spans="1:17">
      <c r="A33" s="86"/>
      <c r="B33" s="395"/>
      <c r="C33" s="396"/>
      <c r="D33" s="396"/>
      <c r="E33" s="396"/>
      <c r="F33" s="396"/>
      <c r="G33" s="396"/>
      <c r="H33" s="396"/>
      <c r="I33" s="396"/>
      <c r="J33" s="396"/>
      <c r="K33" s="397"/>
      <c r="L33" s="34"/>
    </row>
    <row r="34" spans="1:17">
      <c r="A34" s="86"/>
      <c r="B34" s="398" t="s">
        <v>32</v>
      </c>
      <c r="C34" s="399"/>
      <c r="D34" s="399"/>
      <c r="E34" s="399"/>
      <c r="F34" s="399"/>
      <c r="G34" s="399"/>
      <c r="H34" s="399"/>
      <c r="I34" s="399"/>
      <c r="J34" s="399"/>
      <c r="K34" s="400"/>
      <c r="L34" s="34"/>
    </row>
    <row r="35" spans="1:17" ht="102.75" customHeight="1">
      <c r="A35" s="86"/>
      <c r="B35" s="401" t="s">
        <v>411</v>
      </c>
      <c r="C35" s="402"/>
      <c r="D35" s="402"/>
      <c r="E35" s="402"/>
      <c r="F35" s="402"/>
      <c r="G35" s="402"/>
      <c r="H35" s="402"/>
      <c r="I35" s="402"/>
      <c r="J35" s="402"/>
      <c r="K35" s="403"/>
      <c r="L35" s="34"/>
    </row>
    <row r="36" spans="1:17">
      <c r="A36" s="86"/>
      <c r="B36" s="398" t="s">
        <v>44</v>
      </c>
      <c r="C36" s="399"/>
      <c r="D36" s="399"/>
      <c r="E36" s="399"/>
      <c r="F36" s="399"/>
      <c r="G36" s="399"/>
      <c r="H36" s="399"/>
      <c r="I36" s="399"/>
      <c r="J36" s="399"/>
      <c r="K36" s="400"/>
      <c r="L36" s="34"/>
    </row>
    <row r="37" spans="1:17" ht="30" customHeight="1">
      <c r="A37" s="86"/>
      <c r="B37" s="386" t="s">
        <v>412</v>
      </c>
      <c r="C37" s="387"/>
      <c r="D37" s="387"/>
      <c r="E37" s="387"/>
      <c r="F37" s="387"/>
      <c r="G37" s="387"/>
      <c r="H37" s="387"/>
      <c r="I37" s="387"/>
      <c r="J37" s="387"/>
      <c r="K37" s="388"/>
      <c r="L37" s="34"/>
    </row>
    <row r="38" spans="1:17" ht="9.9499999999999993" customHeight="1">
      <c r="B38" s="37"/>
      <c r="C38" s="37"/>
      <c r="D38" s="38"/>
      <c r="E38" s="38"/>
      <c r="F38" s="38"/>
      <c r="G38" s="38"/>
      <c r="H38" s="39"/>
      <c r="I38" s="39"/>
      <c r="J38" s="39"/>
      <c r="K38" s="39"/>
      <c r="L38" s="85"/>
      <c r="M38" s="85"/>
      <c r="N38" s="85"/>
      <c r="O38" s="85"/>
    </row>
    <row r="39" spans="1:17" ht="15" customHeight="1">
      <c r="A39" s="86"/>
      <c r="B39" s="72" t="s">
        <v>149</v>
      </c>
      <c r="C39" s="72" t="s">
        <v>116</v>
      </c>
      <c r="D39" s="72" t="s">
        <v>21</v>
      </c>
      <c r="E39" s="72" t="s">
        <v>46</v>
      </c>
      <c r="F39" s="72" t="s">
        <v>33</v>
      </c>
      <c r="G39" s="72" t="s">
        <v>34</v>
      </c>
      <c r="H39" s="72" t="s">
        <v>35</v>
      </c>
      <c r="I39" s="72" t="s">
        <v>47</v>
      </c>
      <c r="J39" s="72" t="s">
        <v>36</v>
      </c>
      <c r="K39" s="72" t="s">
        <v>37</v>
      </c>
      <c r="L39" s="72" t="s">
        <v>38</v>
      </c>
      <c r="M39" s="72" t="s">
        <v>39</v>
      </c>
      <c r="N39" s="72" t="s">
        <v>40</v>
      </c>
      <c r="O39" s="72" t="s">
        <v>45</v>
      </c>
      <c r="P39" s="72" t="s">
        <v>41</v>
      </c>
    </row>
    <row r="40" spans="1:17" ht="84">
      <c r="A40" s="86"/>
      <c r="B40" s="283">
        <f t="shared" ref="B40:B79" si="0">ROW()-39</f>
        <v>1</v>
      </c>
      <c r="C40" s="283" t="s">
        <v>413</v>
      </c>
      <c r="D40" s="284" t="s">
        <v>414</v>
      </c>
      <c r="E40" s="204" t="s">
        <v>396</v>
      </c>
      <c r="F40" s="284" t="s">
        <v>415</v>
      </c>
      <c r="G40" s="284" t="s">
        <v>416</v>
      </c>
      <c r="H40" s="285" t="s">
        <v>417</v>
      </c>
      <c r="I40" s="286" t="s">
        <v>418</v>
      </c>
      <c r="J40" s="287" t="s">
        <v>419</v>
      </c>
      <c r="K40" s="288" t="s">
        <v>420</v>
      </c>
      <c r="L40" s="289"/>
      <c r="M40" s="289"/>
      <c r="N40" s="289"/>
      <c r="O40" s="289"/>
      <c r="P40" s="289"/>
      <c r="Q40" s="34"/>
    </row>
    <row r="41" spans="1:17" ht="72">
      <c r="A41" s="86"/>
      <c r="B41" s="283">
        <f t="shared" si="0"/>
        <v>2</v>
      </c>
      <c r="C41" s="283" t="s">
        <v>413</v>
      </c>
      <c r="D41" s="284" t="s">
        <v>421</v>
      </c>
      <c r="E41" s="204" t="s">
        <v>396</v>
      </c>
      <c r="F41" s="284" t="s">
        <v>55</v>
      </c>
      <c r="G41" s="284" t="s">
        <v>416</v>
      </c>
      <c r="H41" s="285" t="s">
        <v>422</v>
      </c>
      <c r="I41" s="286" t="s">
        <v>423</v>
      </c>
      <c r="J41" s="287" t="s">
        <v>424</v>
      </c>
      <c r="K41" s="287" t="s">
        <v>425</v>
      </c>
      <c r="L41" s="289"/>
      <c r="M41" s="289"/>
      <c r="N41" s="289"/>
      <c r="O41" s="289"/>
      <c r="P41" s="289"/>
      <c r="Q41" s="34"/>
    </row>
    <row r="42" spans="1:17" ht="36">
      <c r="A42" s="86"/>
      <c r="B42" s="283">
        <f t="shared" si="0"/>
        <v>3</v>
      </c>
      <c r="C42" s="283" t="s">
        <v>413</v>
      </c>
      <c r="D42" s="284" t="s">
        <v>426</v>
      </c>
      <c r="E42" s="204" t="s">
        <v>396</v>
      </c>
      <c r="F42" s="284" t="s">
        <v>55</v>
      </c>
      <c r="G42" s="284" t="s">
        <v>416</v>
      </c>
      <c r="H42" s="285" t="s">
        <v>427</v>
      </c>
      <c r="I42" s="286" t="s">
        <v>428</v>
      </c>
      <c r="J42" s="290"/>
      <c r="K42" s="287" t="s">
        <v>429</v>
      </c>
      <c r="L42" s="289"/>
      <c r="M42" s="289"/>
      <c r="N42" s="289"/>
      <c r="O42" s="289"/>
      <c r="P42" s="289"/>
      <c r="Q42" s="34"/>
    </row>
    <row r="43" spans="1:17" ht="36">
      <c r="A43" s="86"/>
      <c r="B43" s="283">
        <f t="shared" si="0"/>
        <v>4</v>
      </c>
      <c r="C43" s="283" t="s">
        <v>413</v>
      </c>
      <c r="D43" s="284" t="s">
        <v>430</v>
      </c>
      <c r="E43" s="204" t="s">
        <v>396</v>
      </c>
      <c r="F43" s="284" t="s">
        <v>55</v>
      </c>
      <c r="G43" s="284" t="s">
        <v>416</v>
      </c>
      <c r="H43" s="285" t="s">
        <v>431</v>
      </c>
      <c r="I43" s="286" t="s">
        <v>432</v>
      </c>
      <c r="J43" s="290"/>
      <c r="K43" s="287" t="s">
        <v>433</v>
      </c>
      <c r="L43" s="289"/>
      <c r="M43" s="289"/>
      <c r="N43" s="289"/>
      <c r="O43" s="289"/>
      <c r="P43" s="289"/>
      <c r="Q43" s="34"/>
    </row>
    <row r="44" spans="1:17" ht="36">
      <c r="A44" s="86"/>
      <c r="B44" s="283">
        <f t="shared" si="0"/>
        <v>5</v>
      </c>
      <c r="C44" s="283" t="s">
        <v>413</v>
      </c>
      <c r="D44" s="284" t="s">
        <v>434</v>
      </c>
      <c r="E44" s="204" t="s">
        <v>396</v>
      </c>
      <c r="F44" s="284" t="s">
        <v>55</v>
      </c>
      <c r="G44" s="284" t="s">
        <v>416</v>
      </c>
      <c r="H44" s="285" t="s">
        <v>435</v>
      </c>
      <c r="I44" s="286" t="s">
        <v>436</v>
      </c>
      <c r="J44" s="290"/>
      <c r="K44" s="287" t="s">
        <v>437</v>
      </c>
      <c r="L44" s="289"/>
      <c r="M44" s="289"/>
      <c r="N44" s="289"/>
      <c r="O44" s="289"/>
      <c r="P44" s="289"/>
      <c r="Q44" s="34"/>
    </row>
    <row r="45" spans="1:17" ht="48">
      <c r="A45" s="86"/>
      <c r="B45" s="283">
        <f t="shared" si="0"/>
        <v>6</v>
      </c>
      <c r="C45" s="283" t="s">
        <v>413</v>
      </c>
      <c r="D45" s="284" t="s">
        <v>438</v>
      </c>
      <c r="E45" s="204" t="s">
        <v>396</v>
      </c>
      <c r="F45" s="284" t="s">
        <v>415</v>
      </c>
      <c r="G45" s="284" t="s">
        <v>439</v>
      </c>
      <c r="H45" s="285" t="s">
        <v>440</v>
      </c>
      <c r="I45" s="286" t="s">
        <v>441</v>
      </c>
      <c r="J45" s="287" t="s">
        <v>424</v>
      </c>
      <c r="K45" s="287" t="s">
        <v>442</v>
      </c>
      <c r="L45" s="289"/>
      <c r="M45" s="289"/>
      <c r="N45" s="289"/>
      <c r="O45" s="289"/>
      <c r="P45" s="289"/>
      <c r="Q45" s="34"/>
    </row>
    <row r="46" spans="1:17" ht="84">
      <c r="A46" s="86"/>
      <c r="B46" s="283">
        <f t="shared" si="0"/>
        <v>7</v>
      </c>
      <c r="C46" s="283" t="s">
        <v>413</v>
      </c>
      <c r="D46" s="284" t="s">
        <v>443</v>
      </c>
      <c r="E46" s="204" t="s">
        <v>398</v>
      </c>
      <c r="F46" s="284" t="s">
        <v>415</v>
      </c>
      <c r="G46" s="284" t="s">
        <v>416</v>
      </c>
      <c r="H46" s="285" t="s">
        <v>417</v>
      </c>
      <c r="I46" s="286" t="s">
        <v>418</v>
      </c>
      <c r="J46" s="287" t="s">
        <v>419</v>
      </c>
      <c r="K46" s="288" t="s">
        <v>420</v>
      </c>
      <c r="L46" s="289"/>
      <c r="M46" s="289"/>
      <c r="N46" s="289"/>
      <c r="O46" s="289"/>
      <c r="P46" s="289"/>
      <c r="Q46" s="34"/>
    </row>
    <row r="47" spans="1:17" ht="72">
      <c r="A47" s="86"/>
      <c r="B47" s="283">
        <f t="shared" si="0"/>
        <v>8</v>
      </c>
      <c r="C47" s="283" t="s">
        <v>413</v>
      </c>
      <c r="D47" s="284" t="s">
        <v>444</v>
      </c>
      <c r="E47" s="204" t="s">
        <v>398</v>
      </c>
      <c r="F47" s="284" t="s">
        <v>55</v>
      </c>
      <c r="G47" s="284" t="s">
        <v>416</v>
      </c>
      <c r="H47" s="285" t="s">
        <v>422</v>
      </c>
      <c r="I47" s="286" t="s">
        <v>445</v>
      </c>
      <c r="J47" s="287" t="s">
        <v>424</v>
      </c>
      <c r="K47" s="287" t="s">
        <v>425</v>
      </c>
      <c r="L47" s="289"/>
      <c r="M47" s="289"/>
      <c r="N47" s="289"/>
      <c r="O47" s="289"/>
      <c r="P47" s="289"/>
      <c r="Q47" s="34"/>
    </row>
    <row r="48" spans="1:17" ht="72">
      <c r="A48" s="86"/>
      <c r="B48" s="283">
        <f t="shared" si="0"/>
        <v>9</v>
      </c>
      <c r="C48" s="283" t="s">
        <v>413</v>
      </c>
      <c r="D48" s="284" t="s">
        <v>446</v>
      </c>
      <c r="E48" s="204" t="s">
        <v>398</v>
      </c>
      <c r="F48" s="284" t="s">
        <v>415</v>
      </c>
      <c r="G48" s="284" t="s">
        <v>416</v>
      </c>
      <c r="H48" s="285" t="s">
        <v>447</v>
      </c>
      <c r="I48" s="286" t="s">
        <v>448</v>
      </c>
      <c r="J48" s="287" t="s">
        <v>449</v>
      </c>
      <c r="K48" s="287" t="s">
        <v>450</v>
      </c>
      <c r="L48" s="289"/>
      <c r="M48" s="289"/>
      <c r="N48" s="289"/>
      <c r="O48" s="289"/>
      <c r="P48" s="289"/>
      <c r="Q48" s="34"/>
    </row>
    <row r="49" spans="1:17" ht="84">
      <c r="A49" s="86"/>
      <c r="B49" s="283">
        <f t="shared" si="0"/>
        <v>10</v>
      </c>
      <c r="C49" s="283" t="s">
        <v>413</v>
      </c>
      <c r="D49" s="284" t="s">
        <v>451</v>
      </c>
      <c r="E49" s="204" t="s">
        <v>400</v>
      </c>
      <c r="F49" s="284" t="s">
        <v>415</v>
      </c>
      <c r="G49" s="284" t="s">
        <v>416</v>
      </c>
      <c r="H49" s="285" t="s">
        <v>417</v>
      </c>
      <c r="I49" s="286" t="s">
        <v>418</v>
      </c>
      <c r="J49" s="287" t="s">
        <v>419</v>
      </c>
      <c r="K49" s="288" t="s">
        <v>420</v>
      </c>
      <c r="L49" s="289"/>
      <c r="M49" s="289"/>
      <c r="N49" s="289"/>
      <c r="O49" s="289"/>
      <c r="P49" s="289"/>
      <c r="Q49" s="34"/>
    </row>
    <row r="50" spans="1:17" ht="72">
      <c r="A50" s="86"/>
      <c r="B50" s="283">
        <f t="shared" si="0"/>
        <v>11</v>
      </c>
      <c r="C50" s="283" t="s">
        <v>413</v>
      </c>
      <c r="D50" s="284" t="s">
        <v>452</v>
      </c>
      <c r="E50" s="204" t="s">
        <v>400</v>
      </c>
      <c r="F50" s="284" t="s">
        <v>55</v>
      </c>
      <c r="G50" s="284" t="s">
        <v>416</v>
      </c>
      <c r="H50" s="285" t="s">
        <v>422</v>
      </c>
      <c r="I50" s="286" t="s">
        <v>423</v>
      </c>
      <c r="J50" s="287" t="s">
        <v>424</v>
      </c>
      <c r="K50" s="287" t="s">
        <v>425</v>
      </c>
      <c r="L50" s="289"/>
      <c r="M50" s="289"/>
      <c r="N50" s="289"/>
      <c r="O50" s="289"/>
      <c r="P50" s="289"/>
      <c r="Q50" s="34"/>
    </row>
    <row r="51" spans="1:17" ht="36">
      <c r="A51" s="86"/>
      <c r="B51" s="283">
        <f t="shared" si="0"/>
        <v>12</v>
      </c>
      <c r="C51" s="283" t="s">
        <v>413</v>
      </c>
      <c r="D51" s="284" t="s">
        <v>453</v>
      </c>
      <c r="E51" s="204" t="s">
        <v>400</v>
      </c>
      <c r="F51" s="284" t="s">
        <v>55</v>
      </c>
      <c r="G51" s="284" t="s">
        <v>416</v>
      </c>
      <c r="H51" s="285" t="s">
        <v>427</v>
      </c>
      <c r="I51" s="286" t="s">
        <v>428</v>
      </c>
      <c r="J51" s="290"/>
      <c r="K51" s="287" t="s">
        <v>429</v>
      </c>
      <c r="L51" s="289"/>
      <c r="M51" s="289"/>
      <c r="N51" s="289"/>
      <c r="O51" s="289"/>
      <c r="P51" s="289"/>
      <c r="Q51" s="34"/>
    </row>
    <row r="52" spans="1:17" ht="36">
      <c r="A52" s="86"/>
      <c r="B52" s="283">
        <f t="shared" si="0"/>
        <v>13</v>
      </c>
      <c r="C52" s="283" t="s">
        <v>413</v>
      </c>
      <c r="D52" s="284" t="s">
        <v>454</v>
      </c>
      <c r="E52" s="204" t="s">
        <v>400</v>
      </c>
      <c r="F52" s="284" t="s">
        <v>55</v>
      </c>
      <c r="G52" s="284" t="s">
        <v>416</v>
      </c>
      <c r="H52" s="285" t="s">
        <v>455</v>
      </c>
      <c r="I52" s="286" t="s">
        <v>456</v>
      </c>
      <c r="J52" s="290"/>
      <c r="K52" s="287" t="s">
        <v>457</v>
      </c>
      <c r="L52" s="289"/>
      <c r="M52" s="289"/>
      <c r="N52" s="289"/>
      <c r="O52" s="289"/>
      <c r="P52" s="289"/>
      <c r="Q52" s="34"/>
    </row>
    <row r="53" spans="1:17" ht="36">
      <c r="A53" s="86"/>
      <c r="B53" s="283">
        <f t="shared" si="0"/>
        <v>14</v>
      </c>
      <c r="C53" s="283" t="s">
        <v>413</v>
      </c>
      <c r="D53" s="284" t="s">
        <v>458</v>
      </c>
      <c r="E53" s="204" t="s">
        <v>400</v>
      </c>
      <c r="F53" s="284" t="s">
        <v>55</v>
      </c>
      <c r="G53" s="284" t="s">
        <v>416</v>
      </c>
      <c r="H53" s="285" t="s">
        <v>459</v>
      </c>
      <c r="I53" s="286" t="s">
        <v>460</v>
      </c>
      <c r="J53" s="290"/>
      <c r="K53" s="287" t="s">
        <v>461</v>
      </c>
      <c r="L53" s="289"/>
      <c r="M53" s="289"/>
      <c r="N53" s="289"/>
      <c r="O53" s="289"/>
      <c r="P53" s="289"/>
      <c r="Q53" s="34"/>
    </row>
    <row r="54" spans="1:17" ht="72">
      <c r="A54" s="86"/>
      <c r="B54" s="283">
        <f t="shared" si="0"/>
        <v>15</v>
      </c>
      <c r="C54" s="283" t="s">
        <v>413</v>
      </c>
      <c r="D54" s="284" t="s">
        <v>462</v>
      </c>
      <c r="E54" s="204" t="s">
        <v>400</v>
      </c>
      <c r="F54" s="284" t="s">
        <v>415</v>
      </c>
      <c r="G54" s="284" t="s">
        <v>463</v>
      </c>
      <c r="H54" s="285" t="s">
        <v>464</v>
      </c>
      <c r="I54" s="286" t="s">
        <v>465</v>
      </c>
      <c r="J54" s="290"/>
      <c r="K54" s="287" t="s">
        <v>466</v>
      </c>
      <c r="L54" s="289"/>
      <c r="M54" s="289"/>
      <c r="N54" s="289"/>
      <c r="O54" s="289"/>
      <c r="P54" s="289"/>
      <c r="Q54" s="34"/>
    </row>
    <row r="55" spans="1:17" ht="36">
      <c r="A55" s="86"/>
      <c r="B55" s="283">
        <f t="shared" si="0"/>
        <v>16</v>
      </c>
      <c r="C55" s="283" t="s">
        <v>413</v>
      </c>
      <c r="D55" s="284" t="s">
        <v>467</v>
      </c>
      <c r="E55" s="204" t="s">
        <v>400</v>
      </c>
      <c r="F55" s="284" t="s">
        <v>55</v>
      </c>
      <c r="G55" s="284" t="s">
        <v>416</v>
      </c>
      <c r="H55" s="285" t="s">
        <v>468</v>
      </c>
      <c r="I55" s="286" t="s">
        <v>469</v>
      </c>
      <c r="J55" s="290"/>
      <c r="K55" s="287" t="s">
        <v>470</v>
      </c>
      <c r="L55" s="289"/>
      <c r="M55" s="289"/>
      <c r="N55" s="289"/>
      <c r="O55" s="289"/>
      <c r="P55" s="289"/>
      <c r="Q55" s="34"/>
    </row>
    <row r="56" spans="1:17" ht="48">
      <c r="A56" s="86"/>
      <c r="B56" s="283">
        <f t="shared" si="0"/>
        <v>17</v>
      </c>
      <c r="C56" s="283" t="s">
        <v>413</v>
      </c>
      <c r="D56" s="284" t="s">
        <v>471</v>
      </c>
      <c r="E56" s="204" t="s">
        <v>400</v>
      </c>
      <c r="F56" s="284" t="s">
        <v>415</v>
      </c>
      <c r="G56" s="284" t="s">
        <v>439</v>
      </c>
      <c r="H56" s="285" t="s">
        <v>440</v>
      </c>
      <c r="I56" s="286" t="s">
        <v>441</v>
      </c>
      <c r="J56" s="287" t="s">
        <v>424</v>
      </c>
      <c r="K56" s="287" t="s">
        <v>442</v>
      </c>
      <c r="L56" s="289"/>
      <c r="M56" s="289"/>
      <c r="N56" s="289"/>
      <c r="O56" s="289"/>
      <c r="P56" s="289"/>
      <c r="Q56" s="34"/>
    </row>
    <row r="57" spans="1:17" ht="84">
      <c r="A57" s="86"/>
      <c r="B57" s="283">
        <f t="shared" si="0"/>
        <v>18</v>
      </c>
      <c r="C57" s="283" t="s">
        <v>413</v>
      </c>
      <c r="D57" s="284" t="s">
        <v>472</v>
      </c>
      <c r="E57" s="204" t="s">
        <v>402</v>
      </c>
      <c r="F57" s="284" t="s">
        <v>415</v>
      </c>
      <c r="G57" s="284" t="s">
        <v>416</v>
      </c>
      <c r="H57" s="285" t="s">
        <v>417</v>
      </c>
      <c r="I57" s="286" t="s">
        <v>418</v>
      </c>
      <c r="J57" s="287" t="s">
        <v>419</v>
      </c>
      <c r="K57" s="288" t="s">
        <v>420</v>
      </c>
      <c r="L57" s="289"/>
      <c r="M57" s="289"/>
      <c r="N57" s="289"/>
      <c r="O57" s="289"/>
      <c r="P57" s="289"/>
      <c r="Q57" s="34"/>
    </row>
    <row r="58" spans="1:17" ht="72">
      <c r="A58" s="86"/>
      <c r="B58" s="283">
        <f t="shared" si="0"/>
        <v>19</v>
      </c>
      <c r="C58" s="283" t="s">
        <v>413</v>
      </c>
      <c r="D58" s="284" t="s">
        <v>473</v>
      </c>
      <c r="E58" s="204" t="s">
        <v>402</v>
      </c>
      <c r="F58" s="284" t="s">
        <v>55</v>
      </c>
      <c r="G58" s="284" t="s">
        <v>416</v>
      </c>
      <c r="H58" s="285" t="s">
        <v>422</v>
      </c>
      <c r="I58" s="286" t="s">
        <v>474</v>
      </c>
      <c r="J58" s="287" t="s">
        <v>424</v>
      </c>
      <c r="K58" s="287" t="s">
        <v>425</v>
      </c>
      <c r="L58" s="289"/>
      <c r="M58" s="289"/>
      <c r="N58" s="289"/>
      <c r="O58" s="289"/>
      <c r="P58" s="289"/>
      <c r="Q58" s="34"/>
    </row>
    <row r="59" spans="1:17" ht="36">
      <c r="A59" s="86"/>
      <c r="B59" s="283">
        <f t="shared" si="0"/>
        <v>20</v>
      </c>
      <c r="C59" s="283" t="s">
        <v>413</v>
      </c>
      <c r="D59" s="284" t="s">
        <v>475</v>
      </c>
      <c r="E59" s="204" t="s">
        <v>402</v>
      </c>
      <c r="F59" s="284" t="s">
        <v>55</v>
      </c>
      <c r="G59" s="284" t="s">
        <v>416</v>
      </c>
      <c r="H59" s="285" t="s">
        <v>427</v>
      </c>
      <c r="I59" s="286" t="s">
        <v>428</v>
      </c>
      <c r="J59" s="290"/>
      <c r="K59" s="287" t="s">
        <v>429</v>
      </c>
      <c r="L59" s="289"/>
      <c r="M59" s="289"/>
      <c r="N59" s="289"/>
      <c r="O59" s="289"/>
      <c r="P59" s="289"/>
      <c r="Q59" s="34"/>
    </row>
    <row r="60" spans="1:17" ht="36">
      <c r="A60" s="86"/>
      <c r="B60" s="283">
        <f t="shared" si="0"/>
        <v>21</v>
      </c>
      <c r="C60" s="283" t="s">
        <v>413</v>
      </c>
      <c r="D60" s="284" t="s">
        <v>476</v>
      </c>
      <c r="E60" s="204" t="s">
        <v>402</v>
      </c>
      <c r="F60" s="284" t="s">
        <v>55</v>
      </c>
      <c r="G60" s="284" t="s">
        <v>416</v>
      </c>
      <c r="H60" s="285" t="s">
        <v>431</v>
      </c>
      <c r="I60" s="286" t="s">
        <v>432</v>
      </c>
      <c r="J60" s="290"/>
      <c r="K60" s="287" t="s">
        <v>433</v>
      </c>
      <c r="L60" s="289"/>
      <c r="M60" s="289"/>
      <c r="N60" s="289"/>
      <c r="O60" s="289"/>
      <c r="P60" s="289"/>
      <c r="Q60" s="34"/>
    </row>
    <row r="61" spans="1:17" ht="36">
      <c r="A61" s="86"/>
      <c r="B61" s="283">
        <f t="shared" si="0"/>
        <v>22</v>
      </c>
      <c r="C61" s="283" t="s">
        <v>413</v>
      </c>
      <c r="D61" s="284" t="s">
        <v>477</v>
      </c>
      <c r="E61" s="204" t="s">
        <v>402</v>
      </c>
      <c r="F61" s="284" t="s">
        <v>55</v>
      </c>
      <c r="G61" s="284" t="s">
        <v>416</v>
      </c>
      <c r="H61" s="285" t="s">
        <v>478</v>
      </c>
      <c r="I61" s="286" t="s">
        <v>479</v>
      </c>
      <c r="J61" s="290"/>
      <c r="K61" s="287" t="s">
        <v>480</v>
      </c>
      <c r="L61" s="289"/>
      <c r="M61" s="289"/>
      <c r="N61" s="289"/>
      <c r="O61" s="289"/>
      <c r="P61" s="289"/>
      <c r="Q61" s="34"/>
    </row>
    <row r="62" spans="1:17" ht="60">
      <c r="A62" s="86"/>
      <c r="B62" s="283">
        <f t="shared" si="0"/>
        <v>23</v>
      </c>
      <c r="C62" s="283" t="s">
        <v>413</v>
      </c>
      <c r="D62" s="284" t="s">
        <v>481</v>
      </c>
      <c r="E62" s="204" t="s">
        <v>402</v>
      </c>
      <c r="F62" s="284" t="s">
        <v>415</v>
      </c>
      <c r="G62" s="284" t="s">
        <v>463</v>
      </c>
      <c r="H62" s="285" t="s">
        <v>482</v>
      </c>
      <c r="I62" s="286" t="s">
        <v>483</v>
      </c>
      <c r="J62" s="287" t="s">
        <v>424</v>
      </c>
      <c r="K62" s="287" t="s">
        <v>484</v>
      </c>
      <c r="L62" s="289"/>
      <c r="M62" s="289"/>
      <c r="N62" s="289"/>
      <c r="O62" s="289"/>
      <c r="P62" s="289"/>
      <c r="Q62" s="34"/>
    </row>
    <row r="63" spans="1:17" ht="96">
      <c r="A63" s="86"/>
      <c r="B63" s="283">
        <f t="shared" si="0"/>
        <v>24</v>
      </c>
      <c r="C63" s="283" t="s">
        <v>485</v>
      </c>
      <c r="D63" s="284" t="s">
        <v>486</v>
      </c>
      <c r="E63" s="204" t="s">
        <v>405</v>
      </c>
      <c r="F63" s="284" t="s">
        <v>54</v>
      </c>
      <c r="G63" s="284" t="s">
        <v>463</v>
      </c>
      <c r="H63" s="285" t="s">
        <v>487</v>
      </c>
      <c r="I63" s="286" t="s">
        <v>488</v>
      </c>
      <c r="J63" s="287" t="s">
        <v>419</v>
      </c>
      <c r="K63" s="288" t="s">
        <v>420</v>
      </c>
      <c r="L63" s="289"/>
      <c r="M63" s="289"/>
      <c r="N63" s="289"/>
      <c r="O63" s="289"/>
      <c r="P63" s="289"/>
      <c r="Q63" s="34"/>
    </row>
    <row r="64" spans="1:17" ht="72">
      <c r="A64" s="86"/>
      <c r="B64" s="283">
        <f t="shared" si="0"/>
        <v>25</v>
      </c>
      <c r="C64" s="283" t="s">
        <v>485</v>
      </c>
      <c r="D64" s="284" t="s">
        <v>489</v>
      </c>
      <c r="E64" s="204" t="s">
        <v>405</v>
      </c>
      <c r="F64" s="284" t="s">
        <v>55</v>
      </c>
      <c r="G64" s="284" t="s">
        <v>416</v>
      </c>
      <c r="H64" s="285" t="s">
        <v>490</v>
      </c>
      <c r="I64" s="286" t="s">
        <v>491</v>
      </c>
      <c r="J64" s="287" t="s">
        <v>424</v>
      </c>
      <c r="K64" s="287" t="s">
        <v>425</v>
      </c>
      <c r="L64" s="289"/>
      <c r="M64" s="289"/>
      <c r="N64" s="289"/>
      <c r="O64" s="289"/>
      <c r="P64" s="289"/>
      <c r="Q64" s="34"/>
    </row>
    <row r="65" spans="1:17" ht="36">
      <c r="A65" s="86"/>
      <c r="B65" s="283">
        <f t="shared" si="0"/>
        <v>26</v>
      </c>
      <c r="C65" s="283" t="s">
        <v>485</v>
      </c>
      <c r="D65" s="284" t="s">
        <v>492</v>
      </c>
      <c r="E65" s="204" t="s">
        <v>405</v>
      </c>
      <c r="F65" s="284" t="s">
        <v>55</v>
      </c>
      <c r="G65" s="284" t="s">
        <v>416</v>
      </c>
      <c r="H65" s="285" t="s">
        <v>427</v>
      </c>
      <c r="I65" s="286" t="s">
        <v>428</v>
      </c>
      <c r="J65" s="290"/>
      <c r="K65" s="287" t="s">
        <v>429</v>
      </c>
      <c r="L65" s="289"/>
      <c r="M65" s="289"/>
      <c r="N65" s="289"/>
      <c r="O65" s="289"/>
      <c r="P65" s="289"/>
      <c r="Q65" s="34"/>
    </row>
    <row r="66" spans="1:17" ht="36">
      <c r="A66" s="86"/>
      <c r="B66" s="283">
        <f t="shared" si="0"/>
        <v>27</v>
      </c>
      <c r="C66" s="283" t="s">
        <v>485</v>
      </c>
      <c r="D66" s="284" t="s">
        <v>493</v>
      </c>
      <c r="E66" s="204" t="s">
        <v>405</v>
      </c>
      <c r="F66" s="284" t="s">
        <v>55</v>
      </c>
      <c r="G66" s="284" t="s">
        <v>416</v>
      </c>
      <c r="H66" s="285" t="s">
        <v>455</v>
      </c>
      <c r="I66" s="286" t="s">
        <v>494</v>
      </c>
      <c r="J66" s="290"/>
      <c r="K66" s="287" t="s">
        <v>457</v>
      </c>
      <c r="L66" s="289"/>
      <c r="M66" s="289"/>
      <c r="N66" s="289"/>
      <c r="O66" s="289"/>
      <c r="P66" s="289"/>
      <c r="Q66" s="34"/>
    </row>
    <row r="67" spans="1:17" ht="36">
      <c r="A67" s="86"/>
      <c r="B67" s="283">
        <f t="shared" si="0"/>
        <v>28</v>
      </c>
      <c r="C67" s="283" t="s">
        <v>485</v>
      </c>
      <c r="D67" s="284" t="s">
        <v>495</v>
      </c>
      <c r="E67" s="204" t="s">
        <v>405</v>
      </c>
      <c r="F67" s="284" t="s">
        <v>55</v>
      </c>
      <c r="G67" s="284" t="s">
        <v>416</v>
      </c>
      <c r="H67" s="285" t="s">
        <v>459</v>
      </c>
      <c r="I67" s="286" t="s">
        <v>496</v>
      </c>
      <c r="J67" s="290"/>
      <c r="K67" s="287" t="s">
        <v>461</v>
      </c>
      <c r="L67" s="289"/>
      <c r="M67" s="289"/>
      <c r="N67" s="289"/>
      <c r="O67" s="289"/>
      <c r="P67" s="289"/>
      <c r="Q67" s="34"/>
    </row>
    <row r="68" spans="1:17" ht="72">
      <c r="A68" s="86"/>
      <c r="B68" s="283">
        <f t="shared" si="0"/>
        <v>29</v>
      </c>
      <c r="C68" s="283" t="s">
        <v>485</v>
      </c>
      <c r="D68" s="284" t="s">
        <v>497</v>
      </c>
      <c r="E68" s="204" t="s">
        <v>405</v>
      </c>
      <c r="F68" s="284" t="s">
        <v>54</v>
      </c>
      <c r="G68" s="284" t="s">
        <v>463</v>
      </c>
      <c r="H68" s="285" t="s">
        <v>464</v>
      </c>
      <c r="I68" s="286" t="s">
        <v>498</v>
      </c>
      <c r="J68" s="290"/>
      <c r="K68" s="287" t="s">
        <v>466</v>
      </c>
      <c r="L68" s="289"/>
      <c r="M68" s="289"/>
      <c r="N68" s="289"/>
      <c r="O68" s="289"/>
      <c r="P68" s="289"/>
      <c r="Q68" s="34"/>
    </row>
    <row r="69" spans="1:17" ht="36">
      <c r="A69" s="86"/>
      <c r="B69" s="283">
        <f t="shared" si="0"/>
        <v>30</v>
      </c>
      <c r="C69" s="283" t="s">
        <v>485</v>
      </c>
      <c r="D69" s="284" t="s">
        <v>499</v>
      </c>
      <c r="E69" s="204" t="s">
        <v>405</v>
      </c>
      <c r="F69" s="284" t="s">
        <v>55</v>
      </c>
      <c r="G69" s="284" t="s">
        <v>416</v>
      </c>
      <c r="H69" s="285" t="s">
        <v>468</v>
      </c>
      <c r="I69" s="286" t="s">
        <v>469</v>
      </c>
      <c r="J69" s="290"/>
      <c r="K69" s="287" t="s">
        <v>470</v>
      </c>
      <c r="L69" s="289"/>
      <c r="M69" s="289"/>
      <c r="N69" s="289"/>
      <c r="O69" s="289"/>
      <c r="P69" s="289"/>
      <c r="Q69" s="34"/>
    </row>
    <row r="70" spans="1:17" ht="48">
      <c r="A70" s="86"/>
      <c r="B70" s="283">
        <f t="shared" si="0"/>
        <v>31</v>
      </c>
      <c r="C70" s="283" t="s">
        <v>485</v>
      </c>
      <c r="D70" s="284" t="s">
        <v>500</v>
      </c>
      <c r="E70" s="204" t="s">
        <v>405</v>
      </c>
      <c r="F70" s="284" t="s">
        <v>54</v>
      </c>
      <c r="G70" s="284" t="s">
        <v>439</v>
      </c>
      <c r="H70" s="285" t="s">
        <v>440</v>
      </c>
      <c r="I70" s="286" t="s">
        <v>501</v>
      </c>
      <c r="J70" s="287" t="s">
        <v>424</v>
      </c>
      <c r="K70" s="287" t="s">
        <v>442</v>
      </c>
      <c r="L70" s="289"/>
      <c r="M70" s="289"/>
      <c r="N70" s="289"/>
      <c r="O70" s="289"/>
      <c r="P70" s="289"/>
      <c r="Q70" s="34"/>
    </row>
    <row r="71" spans="1:17" ht="96">
      <c r="A71" s="86"/>
      <c r="B71" s="283">
        <f t="shared" si="0"/>
        <v>32</v>
      </c>
      <c r="C71" s="283" t="s">
        <v>485</v>
      </c>
      <c r="D71" s="284" t="s">
        <v>502</v>
      </c>
      <c r="E71" s="204" t="s">
        <v>503</v>
      </c>
      <c r="F71" s="284" t="s">
        <v>54</v>
      </c>
      <c r="G71" s="284" t="s">
        <v>463</v>
      </c>
      <c r="H71" s="285" t="s">
        <v>487</v>
      </c>
      <c r="I71" s="286" t="s">
        <v>504</v>
      </c>
      <c r="J71" s="287" t="s">
        <v>419</v>
      </c>
      <c r="K71" s="288" t="s">
        <v>420</v>
      </c>
      <c r="L71" s="289"/>
      <c r="M71" s="289"/>
      <c r="N71" s="289"/>
      <c r="O71" s="289"/>
      <c r="P71" s="289"/>
      <c r="Q71" s="34"/>
    </row>
    <row r="72" spans="1:17" ht="72">
      <c r="A72" s="86"/>
      <c r="B72" s="283">
        <f t="shared" si="0"/>
        <v>33</v>
      </c>
      <c r="C72" s="283" t="s">
        <v>485</v>
      </c>
      <c r="D72" s="284" t="s">
        <v>505</v>
      </c>
      <c r="E72" s="204" t="s">
        <v>503</v>
      </c>
      <c r="F72" s="284" t="s">
        <v>55</v>
      </c>
      <c r="G72" s="284" t="s">
        <v>416</v>
      </c>
      <c r="H72" s="285" t="s">
        <v>490</v>
      </c>
      <c r="I72" s="286" t="s">
        <v>506</v>
      </c>
      <c r="J72" s="287" t="s">
        <v>424</v>
      </c>
      <c r="K72" s="287" t="s">
        <v>425</v>
      </c>
      <c r="L72" s="289"/>
      <c r="M72" s="289"/>
      <c r="N72" s="289"/>
      <c r="O72" s="289"/>
      <c r="P72" s="289"/>
      <c r="Q72" s="34"/>
    </row>
    <row r="73" spans="1:17" ht="72">
      <c r="A73" s="86"/>
      <c r="B73" s="283">
        <f t="shared" si="0"/>
        <v>34</v>
      </c>
      <c r="C73" s="283" t="s">
        <v>485</v>
      </c>
      <c r="D73" s="284" t="s">
        <v>507</v>
      </c>
      <c r="E73" s="204" t="s">
        <v>503</v>
      </c>
      <c r="F73" s="284" t="s">
        <v>54</v>
      </c>
      <c r="G73" s="284" t="s">
        <v>463</v>
      </c>
      <c r="H73" s="285" t="s">
        <v>447</v>
      </c>
      <c r="I73" s="286" t="s">
        <v>508</v>
      </c>
      <c r="J73" s="287" t="s">
        <v>449</v>
      </c>
      <c r="K73" s="287" t="s">
        <v>509</v>
      </c>
      <c r="L73" s="289"/>
      <c r="M73" s="289"/>
      <c r="N73" s="289"/>
      <c r="O73" s="289"/>
      <c r="P73" s="289"/>
      <c r="Q73" s="34"/>
    </row>
    <row r="74" spans="1:17" ht="96">
      <c r="A74" s="86"/>
      <c r="B74" s="283">
        <f t="shared" si="0"/>
        <v>35</v>
      </c>
      <c r="C74" s="283" t="s">
        <v>485</v>
      </c>
      <c r="D74" s="284" t="s">
        <v>510</v>
      </c>
      <c r="E74" s="204" t="s">
        <v>409</v>
      </c>
      <c r="F74" s="284" t="s">
        <v>54</v>
      </c>
      <c r="G74" s="284" t="s">
        <v>463</v>
      </c>
      <c r="H74" s="285" t="s">
        <v>511</v>
      </c>
      <c r="I74" s="286" t="s">
        <v>488</v>
      </c>
      <c r="J74" s="287" t="s">
        <v>419</v>
      </c>
      <c r="K74" s="288" t="s">
        <v>420</v>
      </c>
      <c r="L74" s="289"/>
      <c r="M74" s="289"/>
      <c r="N74" s="289"/>
      <c r="O74" s="289"/>
      <c r="P74" s="289"/>
      <c r="Q74" s="34"/>
    </row>
    <row r="75" spans="1:17" ht="72">
      <c r="A75" s="86"/>
      <c r="B75" s="283">
        <f t="shared" si="0"/>
        <v>36</v>
      </c>
      <c r="C75" s="283" t="s">
        <v>485</v>
      </c>
      <c r="D75" s="284" t="s">
        <v>512</v>
      </c>
      <c r="E75" s="204" t="s">
        <v>409</v>
      </c>
      <c r="F75" s="284" t="s">
        <v>55</v>
      </c>
      <c r="G75" s="284" t="s">
        <v>416</v>
      </c>
      <c r="H75" s="285" t="s">
        <v>513</v>
      </c>
      <c r="I75" s="286" t="s">
        <v>514</v>
      </c>
      <c r="J75" s="287" t="s">
        <v>424</v>
      </c>
      <c r="K75" s="287" t="s">
        <v>425</v>
      </c>
      <c r="L75" s="289"/>
      <c r="M75" s="289"/>
      <c r="N75" s="289"/>
      <c r="O75" s="289"/>
      <c r="P75" s="289"/>
      <c r="Q75" s="34"/>
    </row>
    <row r="76" spans="1:17" ht="36">
      <c r="A76" s="86"/>
      <c r="B76" s="283">
        <f t="shared" si="0"/>
        <v>37</v>
      </c>
      <c r="C76" s="283" t="s">
        <v>485</v>
      </c>
      <c r="D76" s="284" t="s">
        <v>515</v>
      </c>
      <c r="E76" s="204" t="s">
        <v>409</v>
      </c>
      <c r="F76" s="284" t="s">
        <v>55</v>
      </c>
      <c r="G76" s="284" t="s">
        <v>416</v>
      </c>
      <c r="H76" s="285" t="s">
        <v>427</v>
      </c>
      <c r="I76" s="286" t="s">
        <v>428</v>
      </c>
      <c r="J76" s="290"/>
      <c r="K76" s="287" t="s">
        <v>429</v>
      </c>
      <c r="L76" s="289"/>
      <c r="M76" s="289"/>
      <c r="N76" s="289"/>
      <c r="O76" s="289"/>
      <c r="P76" s="289"/>
      <c r="Q76" s="34"/>
    </row>
    <row r="77" spans="1:17" ht="36">
      <c r="A77" s="86"/>
      <c r="B77" s="283">
        <f t="shared" si="0"/>
        <v>38</v>
      </c>
      <c r="C77" s="283" t="s">
        <v>485</v>
      </c>
      <c r="D77" s="284" t="s">
        <v>516</v>
      </c>
      <c r="E77" s="204" t="s">
        <v>409</v>
      </c>
      <c r="F77" s="284" t="s">
        <v>55</v>
      </c>
      <c r="G77" s="284" t="s">
        <v>416</v>
      </c>
      <c r="H77" s="285" t="s">
        <v>517</v>
      </c>
      <c r="I77" s="286" t="s">
        <v>518</v>
      </c>
      <c r="J77" s="290"/>
      <c r="K77" s="287" t="s">
        <v>519</v>
      </c>
      <c r="L77" s="289"/>
      <c r="M77" s="289"/>
      <c r="N77" s="289"/>
      <c r="O77" s="289"/>
      <c r="P77" s="289"/>
      <c r="Q77" s="34"/>
    </row>
    <row r="78" spans="1:17" ht="36">
      <c r="A78" s="86"/>
      <c r="B78" s="283">
        <f t="shared" si="0"/>
        <v>39</v>
      </c>
      <c r="C78" s="283" t="s">
        <v>485</v>
      </c>
      <c r="D78" s="284" t="s">
        <v>520</v>
      </c>
      <c r="E78" s="204" t="s">
        <v>409</v>
      </c>
      <c r="F78" s="284" t="s">
        <v>55</v>
      </c>
      <c r="G78" s="284" t="s">
        <v>416</v>
      </c>
      <c r="H78" s="285" t="s">
        <v>521</v>
      </c>
      <c r="I78" s="286" t="s">
        <v>522</v>
      </c>
      <c r="J78" s="290"/>
      <c r="K78" s="287" t="s">
        <v>523</v>
      </c>
      <c r="L78" s="289"/>
      <c r="M78" s="289"/>
      <c r="N78" s="289"/>
      <c r="O78" s="289"/>
      <c r="P78" s="289"/>
      <c r="Q78" s="34"/>
    </row>
    <row r="79" spans="1:17" ht="60">
      <c r="A79" s="86"/>
      <c r="B79" s="283">
        <f t="shared" si="0"/>
        <v>40</v>
      </c>
      <c r="C79" s="283" t="s">
        <v>485</v>
      </c>
      <c r="D79" s="284" t="s">
        <v>524</v>
      </c>
      <c r="E79" s="204" t="s">
        <v>409</v>
      </c>
      <c r="F79" s="284" t="s">
        <v>54</v>
      </c>
      <c r="G79" s="284" t="s">
        <v>463</v>
      </c>
      <c r="H79" s="285" t="s">
        <v>525</v>
      </c>
      <c r="I79" s="286" t="s">
        <v>526</v>
      </c>
      <c r="J79" s="287" t="s">
        <v>424</v>
      </c>
      <c r="K79" s="287" t="s">
        <v>527</v>
      </c>
      <c r="L79" s="289"/>
      <c r="M79" s="289"/>
      <c r="N79" s="289"/>
      <c r="O79" s="289"/>
      <c r="P79" s="289"/>
      <c r="Q79" s="34"/>
    </row>
    <row r="80" spans="1:17">
      <c r="B80" s="87"/>
      <c r="C80" s="87"/>
      <c r="D80" s="87"/>
      <c r="E80" s="87"/>
      <c r="F80" s="87"/>
      <c r="G80" s="87"/>
      <c r="H80" s="36"/>
      <c r="I80" s="36"/>
      <c r="J80" s="36"/>
      <c r="K80" s="36"/>
      <c r="L80" s="36"/>
      <c r="M80" s="36"/>
      <c r="N80" s="36"/>
      <c r="O80" s="36"/>
      <c r="P80" s="36"/>
    </row>
  </sheetData>
  <mergeCells count="7">
    <mergeCell ref="B37:K37"/>
    <mergeCell ref="C2:K2"/>
    <mergeCell ref="B4:K4"/>
    <mergeCell ref="B5:K33"/>
    <mergeCell ref="B34:K34"/>
    <mergeCell ref="B35:K35"/>
    <mergeCell ref="B36:K36"/>
  </mergeCells>
  <phoneticPr fontId="3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CF11-7D09-4393-B21B-8F35282751A8}">
  <sheetPr>
    <pageSetUpPr fitToPage="1"/>
  </sheetPr>
  <dimension ref="A1:K25"/>
  <sheetViews>
    <sheetView zoomScaleNormal="100" workbookViewId="0">
      <selection activeCell="P16" sqref="P16"/>
    </sheetView>
  </sheetViews>
  <sheetFormatPr defaultColWidth="8.88671875" defaultRowHeight="13.5"/>
  <cols>
    <col min="1" max="1" width="2.77734375" style="30" customWidth="1"/>
    <col min="2" max="2" width="5.77734375" style="31" customWidth="1"/>
    <col min="3" max="3" width="14.77734375" style="31" customWidth="1"/>
    <col min="4" max="7" width="10.77734375" style="31" customWidth="1"/>
    <col min="8" max="8" width="15.77734375" style="31" customWidth="1"/>
    <col min="9" max="9" width="15.77734375" style="30" customWidth="1"/>
    <col min="10" max="10" width="20.77734375" style="30" customWidth="1"/>
    <col min="11" max="16384" width="8.88671875" style="30"/>
  </cols>
  <sheetData>
    <row r="1" spans="1:11" s="82" customFormat="1" ht="66" customHeight="1">
      <c r="B1" s="102"/>
      <c r="C1" s="102"/>
      <c r="D1" s="83"/>
      <c r="E1" s="83"/>
      <c r="F1" s="83"/>
      <c r="G1" s="83"/>
      <c r="H1" s="83"/>
    </row>
    <row r="2" spans="1:11" s="82" customFormat="1" ht="9.9499999999999993" customHeight="1">
      <c r="B2" s="32"/>
      <c r="C2" s="32"/>
      <c r="D2" s="84"/>
      <c r="E2" s="84"/>
      <c r="F2" s="84"/>
      <c r="G2" s="84"/>
      <c r="H2" s="84"/>
      <c r="I2" s="85"/>
      <c r="J2" s="85"/>
    </row>
    <row r="3" spans="1:11" ht="15" customHeight="1">
      <c r="A3" s="33"/>
      <c r="B3" s="51" t="s">
        <v>62</v>
      </c>
      <c r="C3" s="51" t="s">
        <v>64</v>
      </c>
      <c r="D3" s="51" t="s">
        <v>42</v>
      </c>
      <c r="E3" s="51" t="s">
        <v>65</v>
      </c>
      <c r="F3" s="51" t="s">
        <v>69</v>
      </c>
      <c r="G3" s="51" t="s">
        <v>68</v>
      </c>
      <c r="H3" s="51" t="s">
        <v>66</v>
      </c>
      <c r="I3" s="51" t="s">
        <v>67</v>
      </c>
      <c r="J3" s="51" t="s">
        <v>41</v>
      </c>
      <c r="K3" s="34"/>
    </row>
    <row r="4" spans="1:11" ht="14.25" customHeight="1">
      <c r="A4" s="33"/>
      <c r="B4" s="49">
        <f t="shared" ref="B4:B21" si="0">ROW()-3</f>
        <v>1</v>
      </c>
      <c r="C4" s="49" t="s">
        <v>71</v>
      </c>
      <c r="D4" s="49"/>
      <c r="E4" s="49"/>
      <c r="F4" s="49"/>
      <c r="G4" s="50"/>
      <c r="H4" s="50"/>
      <c r="I4" s="52"/>
      <c r="J4" s="52"/>
      <c r="K4" s="34"/>
    </row>
    <row r="5" spans="1:11" ht="14.25" customHeight="1">
      <c r="A5" s="33"/>
      <c r="B5" s="49">
        <f t="shared" si="0"/>
        <v>2</v>
      </c>
      <c r="C5" s="49" t="s">
        <v>71</v>
      </c>
      <c r="D5" s="49"/>
      <c r="E5" s="49"/>
      <c r="F5" s="49"/>
      <c r="G5" s="50"/>
      <c r="H5" s="50"/>
      <c r="I5" s="50"/>
      <c r="J5" s="52"/>
      <c r="K5" s="34"/>
    </row>
    <row r="6" spans="1:11" ht="14.25" customHeight="1">
      <c r="A6" s="33"/>
      <c r="B6" s="49">
        <f t="shared" si="0"/>
        <v>3</v>
      </c>
      <c r="C6" s="49" t="s">
        <v>71</v>
      </c>
      <c r="D6" s="49"/>
      <c r="E6" s="49"/>
      <c r="F6" s="49"/>
      <c r="G6" s="50"/>
      <c r="H6" s="50"/>
      <c r="I6" s="50"/>
      <c r="J6" s="52"/>
      <c r="K6" s="34"/>
    </row>
    <row r="7" spans="1:11" ht="14.25" customHeight="1">
      <c r="A7" s="33"/>
      <c r="B7" s="49">
        <f t="shared" si="0"/>
        <v>4</v>
      </c>
      <c r="C7" s="49" t="s">
        <v>71</v>
      </c>
      <c r="D7" s="49"/>
      <c r="E7" s="49"/>
      <c r="F7" s="49"/>
      <c r="G7" s="50"/>
      <c r="H7" s="50"/>
      <c r="I7" s="50"/>
      <c r="J7" s="52"/>
      <c r="K7" s="34"/>
    </row>
    <row r="8" spans="1:11">
      <c r="A8" s="33"/>
      <c r="B8" s="49">
        <f t="shared" si="0"/>
        <v>5</v>
      </c>
      <c r="C8" s="49" t="s">
        <v>71</v>
      </c>
      <c r="D8" s="49"/>
      <c r="E8" s="49"/>
      <c r="F8" s="49"/>
      <c r="G8" s="50"/>
      <c r="H8" s="50"/>
      <c r="I8" s="50"/>
      <c r="J8" s="52"/>
      <c r="K8" s="34"/>
    </row>
    <row r="9" spans="1:11">
      <c r="A9" s="33"/>
      <c r="B9" s="49">
        <f t="shared" si="0"/>
        <v>6</v>
      </c>
      <c r="C9" s="49" t="s">
        <v>70</v>
      </c>
      <c r="D9" s="49"/>
      <c r="E9" s="49"/>
      <c r="F9" s="49"/>
      <c r="G9" s="50"/>
      <c r="H9" s="50"/>
      <c r="I9" s="50"/>
      <c r="J9" s="52"/>
      <c r="K9" s="34"/>
    </row>
    <row r="10" spans="1:11">
      <c r="A10" s="33"/>
      <c r="B10" s="49">
        <f t="shared" si="0"/>
        <v>7</v>
      </c>
      <c r="C10" s="49" t="s">
        <v>70</v>
      </c>
      <c r="D10" s="49"/>
      <c r="E10" s="49"/>
      <c r="F10" s="49"/>
      <c r="G10" s="50"/>
      <c r="H10" s="50"/>
      <c r="I10" s="50"/>
      <c r="J10" s="52"/>
      <c r="K10" s="34"/>
    </row>
    <row r="11" spans="1:11">
      <c r="A11" s="33"/>
      <c r="B11" s="49">
        <f t="shared" si="0"/>
        <v>8</v>
      </c>
      <c r="C11" s="49" t="s">
        <v>70</v>
      </c>
      <c r="D11" s="49"/>
      <c r="E11" s="49"/>
      <c r="F11" s="49"/>
      <c r="G11" s="50"/>
      <c r="H11" s="50"/>
      <c r="I11" s="50"/>
      <c r="J11" s="52"/>
      <c r="K11" s="34"/>
    </row>
    <row r="12" spans="1:11">
      <c r="A12" s="33"/>
      <c r="B12" s="49">
        <f t="shared" si="0"/>
        <v>9</v>
      </c>
      <c r="C12" s="49" t="s">
        <v>70</v>
      </c>
      <c r="D12" s="49"/>
      <c r="E12" s="49"/>
      <c r="F12" s="49"/>
      <c r="G12" s="50"/>
      <c r="H12" s="50"/>
      <c r="I12" s="52"/>
      <c r="J12" s="52"/>
      <c r="K12" s="34"/>
    </row>
    <row r="13" spans="1:11">
      <c r="A13" s="33"/>
      <c r="B13" s="49">
        <f t="shared" si="0"/>
        <v>10</v>
      </c>
      <c r="C13" s="49" t="s">
        <v>70</v>
      </c>
      <c r="D13" s="49"/>
      <c r="E13" s="49"/>
      <c r="F13" s="49"/>
      <c r="G13" s="50"/>
      <c r="H13" s="50"/>
      <c r="I13" s="52"/>
      <c r="J13" s="52"/>
      <c r="K13" s="34"/>
    </row>
    <row r="14" spans="1:11">
      <c r="A14" s="33"/>
      <c r="B14" s="49">
        <f t="shared" si="0"/>
        <v>11</v>
      </c>
      <c r="C14" s="49" t="s">
        <v>70</v>
      </c>
      <c r="D14" s="49"/>
      <c r="E14" s="49"/>
      <c r="F14" s="49"/>
      <c r="G14" s="50"/>
      <c r="H14" s="50"/>
      <c r="I14" s="52"/>
      <c r="J14" s="52"/>
      <c r="K14" s="34"/>
    </row>
    <row r="15" spans="1:11">
      <c r="A15" s="33"/>
      <c r="B15" s="49">
        <f t="shared" si="0"/>
        <v>12</v>
      </c>
      <c r="C15" s="49" t="s">
        <v>70</v>
      </c>
      <c r="D15" s="49"/>
      <c r="E15" s="49"/>
      <c r="F15" s="49"/>
      <c r="G15" s="50"/>
      <c r="H15" s="50"/>
      <c r="I15" s="50"/>
      <c r="J15" s="50"/>
      <c r="K15" s="34"/>
    </row>
    <row r="16" spans="1:11">
      <c r="A16" s="33"/>
      <c r="B16" s="49">
        <f t="shared" si="0"/>
        <v>13</v>
      </c>
      <c r="C16" s="49" t="s">
        <v>70</v>
      </c>
      <c r="D16" s="49"/>
      <c r="E16" s="49"/>
      <c r="F16" s="49"/>
      <c r="G16" s="50"/>
      <c r="H16" s="50"/>
      <c r="I16" s="50"/>
      <c r="J16" s="50"/>
      <c r="K16" s="34"/>
    </row>
    <row r="17" spans="1:11">
      <c r="A17" s="33"/>
      <c r="B17" s="49">
        <f t="shared" si="0"/>
        <v>14</v>
      </c>
      <c r="C17" s="49" t="s">
        <v>70</v>
      </c>
      <c r="D17" s="49"/>
      <c r="E17" s="49"/>
      <c r="F17" s="49"/>
      <c r="G17" s="50"/>
      <c r="H17" s="50"/>
      <c r="I17" s="50"/>
      <c r="J17" s="50"/>
      <c r="K17" s="34"/>
    </row>
    <row r="18" spans="1:11">
      <c r="A18" s="33"/>
      <c r="B18" s="49">
        <f t="shared" si="0"/>
        <v>15</v>
      </c>
      <c r="C18" s="49" t="s">
        <v>70</v>
      </c>
      <c r="D18" s="49"/>
      <c r="E18" s="49"/>
      <c r="F18" s="49"/>
      <c r="G18" s="50"/>
      <c r="H18" s="50"/>
      <c r="I18" s="52"/>
      <c r="J18" s="52"/>
      <c r="K18" s="34"/>
    </row>
    <row r="19" spans="1:11">
      <c r="A19" s="33"/>
      <c r="B19" s="49">
        <f t="shared" si="0"/>
        <v>16</v>
      </c>
      <c r="C19" s="49" t="s">
        <v>72</v>
      </c>
      <c r="D19" s="49"/>
      <c r="E19" s="49"/>
      <c r="F19" s="49"/>
      <c r="G19" s="50"/>
      <c r="H19" s="50"/>
      <c r="I19" s="50"/>
      <c r="J19" s="52"/>
      <c r="K19" s="34"/>
    </row>
    <row r="20" spans="1:11">
      <c r="A20" s="33"/>
      <c r="B20" s="49">
        <f t="shared" si="0"/>
        <v>17</v>
      </c>
      <c r="C20" s="49" t="s">
        <v>72</v>
      </c>
      <c r="D20" s="49"/>
      <c r="E20" s="49"/>
      <c r="F20" s="49"/>
      <c r="G20" s="50"/>
      <c r="H20" s="50"/>
      <c r="I20" s="50"/>
      <c r="J20" s="52"/>
      <c r="K20" s="34"/>
    </row>
    <row r="21" spans="1:11">
      <c r="A21" s="33"/>
      <c r="B21" s="49">
        <f t="shared" si="0"/>
        <v>18</v>
      </c>
      <c r="C21" s="49" t="s">
        <v>72</v>
      </c>
      <c r="D21" s="49"/>
      <c r="E21" s="49"/>
      <c r="F21" s="49"/>
      <c r="G21" s="50"/>
      <c r="H21" s="50"/>
      <c r="I21" s="50"/>
      <c r="J21" s="52"/>
      <c r="K21" s="34"/>
    </row>
    <row r="22" spans="1:11">
      <c r="A22" s="33"/>
      <c r="B22" s="53">
        <f t="shared" ref="B22:B23" si="1">ROW()-3</f>
        <v>19</v>
      </c>
      <c r="C22" s="49" t="s">
        <v>72</v>
      </c>
      <c r="D22" s="49"/>
      <c r="E22" s="49"/>
      <c r="F22" s="54"/>
      <c r="G22" s="50"/>
      <c r="H22" s="50"/>
      <c r="I22" s="49"/>
      <c r="J22" s="55"/>
      <c r="K22" s="34"/>
    </row>
    <row r="23" spans="1:11">
      <c r="A23" s="33"/>
      <c r="B23" s="53">
        <f t="shared" si="1"/>
        <v>20</v>
      </c>
      <c r="C23" s="49" t="s">
        <v>72</v>
      </c>
      <c r="D23" s="49"/>
      <c r="E23" s="49"/>
      <c r="F23" s="54"/>
      <c r="G23" s="50"/>
      <c r="H23" s="50"/>
      <c r="I23" s="49"/>
      <c r="J23" s="55"/>
      <c r="K23" s="34"/>
    </row>
    <row r="24" spans="1:11">
      <c r="B24" s="35"/>
      <c r="C24" s="35"/>
      <c r="D24" s="35"/>
      <c r="E24" s="35"/>
      <c r="F24" s="35"/>
      <c r="G24" s="35"/>
      <c r="H24" s="35"/>
      <c r="I24" s="36"/>
      <c r="J24" s="36"/>
    </row>
    <row r="25" spans="1:11">
      <c r="B25" s="404" t="s">
        <v>73</v>
      </c>
      <c r="C25" s="405"/>
      <c r="D25" s="405"/>
      <c r="E25" s="405"/>
      <c r="F25" s="405"/>
      <c r="G25" s="405"/>
      <c r="H25" s="405"/>
      <c r="I25" s="405"/>
      <c r="J25" s="406"/>
    </row>
  </sheetData>
  <mergeCells count="1">
    <mergeCell ref="B25:J2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orientation="landscape" verticalDpi="4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9D82-515E-44E7-AD42-1930EFEFF09E}">
  <sheetPr>
    <pageSetUpPr fitToPage="1"/>
  </sheetPr>
  <dimension ref="A1:P14"/>
  <sheetViews>
    <sheetView zoomScaleNormal="100" workbookViewId="0">
      <selection activeCell="S24" sqref="S24"/>
    </sheetView>
  </sheetViews>
  <sheetFormatPr defaultColWidth="8.88671875" defaultRowHeight="13.5"/>
  <cols>
    <col min="1" max="1" width="2.77734375" style="82" customWidth="1"/>
    <col min="2" max="2" width="5.77734375" style="83" customWidth="1"/>
    <col min="3" max="3" width="8.77734375" style="83" customWidth="1"/>
    <col min="4" max="4" width="10.77734375" style="83" customWidth="1"/>
    <col min="5" max="11" width="8.77734375" style="83" customWidth="1"/>
    <col min="12" max="14" width="10.77734375" style="83" customWidth="1"/>
    <col min="15" max="15" width="10.77734375" style="82" customWidth="1"/>
    <col min="16" max="16384" width="8.88671875" style="82"/>
  </cols>
  <sheetData>
    <row r="1" spans="1:16" ht="51" customHeight="1"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6">
      <c r="B2" s="407"/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85"/>
    </row>
    <row r="3" spans="1:16">
      <c r="A3" s="86"/>
      <c r="B3" s="428" t="s">
        <v>365</v>
      </c>
      <c r="C3" s="428" t="s">
        <v>539</v>
      </c>
      <c r="D3" s="428" t="s">
        <v>540</v>
      </c>
      <c r="E3" s="428" t="s">
        <v>663</v>
      </c>
      <c r="F3" s="428"/>
      <c r="G3" s="428" t="s">
        <v>668</v>
      </c>
      <c r="H3" s="428"/>
      <c r="I3" s="428" t="s">
        <v>669</v>
      </c>
      <c r="J3" s="428"/>
      <c r="K3" s="428"/>
      <c r="L3" s="461" t="s">
        <v>672</v>
      </c>
      <c r="M3" s="462"/>
      <c r="N3" s="462"/>
      <c r="O3" s="463"/>
      <c r="P3" s="34"/>
    </row>
    <row r="4" spans="1:16">
      <c r="A4" s="86"/>
      <c r="B4" s="428"/>
      <c r="C4" s="428"/>
      <c r="D4" s="428"/>
      <c r="E4" s="415" t="s">
        <v>664</v>
      </c>
      <c r="F4" s="415" t="s">
        <v>665</v>
      </c>
      <c r="G4" s="415" t="s">
        <v>666</v>
      </c>
      <c r="H4" s="415" t="s">
        <v>668</v>
      </c>
      <c r="I4" s="415" t="s">
        <v>666</v>
      </c>
      <c r="J4" s="415" t="s">
        <v>670</v>
      </c>
      <c r="K4" s="415" t="s">
        <v>671</v>
      </c>
      <c r="L4" s="415" t="s">
        <v>74</v>
      </c>
      <c r="M4" s="415" t="s">
        <v>536</v>
      </c>
      <c r="N4" s="415" t="s">
        <v>23</v>
      </c>
      <c r="O4" s="415" t="s">
        <v>364</v>
      </c>
      <c r="P4" s="34"/>
    </row>
    <row r="5" spans="1:16">
      <c r="A5" s="86"/>
      <c r="B5" s="414">
        <v>1</v>
      </c>
      <c r="C5" s="456" t="s">
        <v>576</v>
      </c>
      <c r="D5" s="456" t="s">
        <v>551</v>
      </c>
      <c r="E5" s="457">
        <v>19000</v>
      </c>
      <c r="F5" s="457">
        <v>3000</v>
      </c>
      <c r="G5" s="456" t="s">
        <v>667</v>
      </c>
      <c r="H5" s="457">
        <v>6000</v>
      </c>
      <c r="I5" s="456" t="s">
        <v>667</v>
      </c>
      <c r="J5" s="457">
        <v>3000</v>
      </c>
      <c r="K5" s="457">
        <v>6000</v>
      </c>
      <c r="L5" s="458" t="s">
        <v>587</v>
      </c>
      <c r="M5" s="459" t="s">
        <v>622</v>
      </c>
      <c r="N5" s="460" t="s">
        <v>587</v>
      </c>
      <c r="O5" s="460" t="s">
        <v>119</v>
      </c>
      <c r="P5" s="34"/>
    </row>
    <row r="6" spans="1:16">
      <c r="A6" s="86"/>
      <c r="B6" s="414">
        <v>2</v>
      </c>
      <c r="C6" s="456"/>
      <c r="D6" s="456"/>
      <c r="E6" s="457"/>
      <c r="F6" s="457"/>
      <c r="G6" s="456"/>
      <c r="H6" s="457"/>
      <c r="I6" s="456"/>
      <c r="J6" s="457"/>
      <c r="K6" s="457"/>
      <c r="L6" s="458" t="s">
        <v>601</v>
      </c>
      <c r="M6" s="459" t="s">
        <v>634</v>
      </c>
      <c r="N6" s="460" t="s">
        <v>601</v>
      </c>
      <c r="O6" s="460" t="s">
        <v>126</v>
      </c>
      <c r="P6" s="34"/>
    </row>
    <row r="7" spans="1:16">
      <c r="A7" s="86"/>
      <c r="B7" s="414">
        <v>3</v>
      </c>
      <c r="C7" s="456"/>
      <c r="D7" s="456"/>
      <c r="E7" s="457"/>
      <c r="F7" s="457"/>
      <c r="G7" s="456"/>
      <c r="H7" s="457"/>
      <c r="I7" s="456"/>
      <c r="J7" s="457"/>
      <c r="K7" s="457"/>
      <c r="L7" s="458" t="s">
        <v>608</v>
      </c>
      <c r="M7" s="459" t="s">
        <v>636</v>
      </c>
      <c r="N7" s="460" t="s">
        <v>608</v>
      </c>
      <c r="O7" s="460" t="s">
        <v>129</v>
      </c>
      <c r="P7" s="34"/>
    </row>
    <row r="8" spans="1:16">
      <c r="A8" s="86"/>
      <c r="B8" s="414">
        <v>4</v>
      </c>
      <c r="C8" s="456" t="s">
        <v>578</v>
      </c>
      <c r="D8" s="456" t="s">
        <v>553</v>
      </c>
      <c r="E8" s="457">
        <v>20000</v>
      </c>
      <c r="F8" s="457">
        <v>3000</v>
      </c>
      <c r="G8" s="456" t="s">
        <v>667</v>
      </c>
      <c r="H8" s="457">
        <v>6000</v>
      </c>
      <c r="I8" s="456" t="s">
        <v>667</v>
      </c>
      <c r="J8" s="457">
        <v>3000</v>
      </c>
      <c r="K8" s="457">
        <v>6000</v>
      </c>
      <c r="L8" s="458" t="s">
        <v>592</v>
      </c>
      <c r="M8" s="459" t="s">
        <v>626</v>
      </c>
      <c r="N8" s="460" t="s">
        <v>592</v>
      </c>
      <c r="O8" s="460" t="s">
        <v>122</v>
      </c>
      <c r="P8" s="34"/>
    </row>
    <row r="9" spans="1:16">
      <c r="A9" s="86"/>
      <c r="B9" s="414">
        <v>5</v>
      </c>
      <c r="C9" s="456"/>
      <c r="D9" s="456"/>
      <c r="E9" s="457"/>
      <c r="F9" s="457"/>
      <c r="G9" s="456"/>
      <c r="H9" s="457"/>
      <c r="I9" s="456"/>
      <c r="J9" s="457"/>
      <c r="K9" s="457"/>
      <c r="L9" s="458" t="s">
        <v>597</v>
      </c>
      <c r="M9" s="459" t="s">
        <v>630</v>
      </c>
      <c r="N9" s="460" t="s">
        <v>597</v>
      </c>
      <c r="O9" s="460" t="s">
        <v>123</v>
      </c>
      <c r="P9" s="34"/>
    </row>
    <row r="10" spans="1:16">
      <c r="A10" s="86"/>
      <c r="B10" s="414">
        <v>6</v>
      </c>
      <c r="C10" s="456" t="s">
        <v>577</v>
      </c>
      <c r="D10" s="456" t="s">
        <v>552</v>
      </c>
      <c r="E10" s="457">
        <v>20000</v>
      </c>
      <c r="F10" s="457">
        <v>2500</v>
      </c>
      <c r="G10" s="456" t="s">
        <v>667</v>
      </c>
      <c r="H10" s="457">
        <v>5000</v>
      </c>
      <c r="I10" s="456" t="s">
        <v>667</v>
      </c>
      <c r="J10" s="457">
        <v>2500</v>
      </c>
      <c r="K10" s="457">
        <v>5000</v>
      </c>
      <c r="L10" s="458" t="s">
        <v>580</v>
      </c>
      <c r="M10" s="459" t="s">
        <v>624</v>
      </c>
      <c r="N10" s="460" t="s">
        <v>580</v>
      </c>
      <c r="O10" s="460" t="s">
        <v>120</v>
      </c>
      <c r="P10" s="34"/>
    </row>
    <row r="11" spans="1:16">
      <c r="A11" s="86"/>
      <c r="B11" s="414">
        <v>7</v>
      </c>
      <c r="C11" s="456"/>
      <c r="D11" s="456"/>
      <c r="E11" s="457"/>
      <c r="F11" s="457"/>
      <c r="G11" s="456"/>
      <c r="H11" s="457"/>
      <c r="I11" s="456"/>
      <c r="J11" s="457"/>
      <c r="K11" s="457"/>
      <c r="L11" s="458" t="s">
        <v>595</v>
      </c>
      <c r="M11" s="459" t="s">
        <v>628</v>
      </c>
      <c r="N11" s="460" t="s">
        <v>595</v>
      </c>
      <c r="O11" s="460" t="s">
        <v>123</v>
      </c>
      <c r="P11" s="34"/>
    </row>
    <row r="12" spans="1:16">
      <c r="A12" s="86"/>
      <c r="B12" s="414">
        <v>8</v>
      </c>
      <c r="C12" s="456"/>
      <c r="D12" s="456"/>
      <c r="E12" s="457"/>
      <c r="F12" s="457"/>
      <c r="G12" s="456"/>
      <c r="H12" s="457"/>
      <c r="I12" s="456"/>
      <c r="J12" s="457"/>
      <c r="K12" s="457"/>
      <c r="L12" s="458" t="s">
        <v>599</v>
      </c>
      <c r="M12" s="459" t="s">
        <v>632</v>
      </c>
      <c r="N12" s="460" t="s">
        <v>599</v>
      </c>
      <c r="O12" s="460" t="s">
        <v>125</v>
      </c>
      <c r="P12" s="34"/>
    </row>
    <row r="13" spans="1:16">
      <c r="A13" s="86"/>
      <c r="B13" s="414">
        <v>9</v>
      </c>
      <c r="C13" s="456"/>
      <c r="D13" s="456"/>
      <c r="E13" s="457"/>
      <c r="F13" s="457"/>
      <c r="G13" s="456"/>
      <c r="H13" s="457"/>
      <c r="I13" s="456"/>
      <c r="J13" s="457"/>
      <c r="K13" s="457"/>
      <c r="L13" s="458" t="s">
        <v>610</v>
      </c>
      <c r="M13" s="459" t="s">
        <v>638</v>
      </c>
      <c r="N13" s="460" t="s">
        <v>610</v>
      </c>
      <c r="O13" s="460" t="s">
        <v>130</v>
      </c>
      <c r="P13" s="34"/>
    </row>
    <row r="14" spans="1:16"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36"/>
    </row>
  </sheetData>
  <mergeCells count="35">
    <mergeCell ref="L3:O3"/>
    <mergeCell ref="I5:I7"/>
    <mergeCell ref="I8:I9"/>
    <mergeCell ref="I10:I13"/>
    <mergeCell ref="J5:J7"/>
    <mergeCell ref="J8:J9"/>
    <mergeCell ref="J10:J13"/>
    <mergeCell ref="G8:G9"/>
    <mergeCell ref="K8:K9"/>
    <mergeCell ref="G10:G13"/>
    <mergeCell ref="K10:K13"/>
    <mergeCell ref="E3:F3"/>
    <mergeCell ref="E5:E7"/>
    <mergeCell ref="F5:F7"/>
    <mergeCell ref="E8:E9"/>
    <mergeCell ref="F8:F9"/>
    <mergeCell ref="E10:E13"/>
    <mergeCell ref="F10:F13"/>
    <mergeCell ref="H5:H7"/>
    <mergeCell ref="H8:H9"/>
    <mergeCell ref="H10:H13"/>
    <mergeCell ref="G3:H3"/>
    <mergeCell ref="I3:K3"/>
    <mergeCell ref="B2:N2"/>
    <mergeCell ref="C5:C7"/>
    <mergeCell ref="C8:C9"/>
    <mergeCell ref="C10:C13"/>
    <mergeCell ref="B3:B4"/>
    <mergeCell ref="C3:C4"/>
    <mergeCell ref="D5:D7"/>
    <mergeCell ref="D8:D9"/>
    <mergeCell ref="D10:D13"/>
    <mergeCell ref="D3:D4"/>
    <mergeCell ref="G5:G7"/>
    <mergeCell ref="K5:K7"/>
  </mergeCells>
  <phoneticPr fontId="3" type="noConversion"/>
  <conditionalFormatting sqref="B5:C5 G5:H5 K5 B6:B13">
    <cfRule type="expression" dxfId="6" priority="25">
      <formula>$L5="입점"</formula>
    </cfRule>
  </conditionalFormatting>
  <conditionalFormatting sqref="M11 M13 M6 L10:M10 L5:N5 L11:L13 L6:L9 N6:O13">
    <cfRule type="expression" dxfId="5" priority="5">
      <formula>#REF!="입점"</formula>
    </cfRule>
  </conditionalFormatting>
  <conditionalFormatting sqref="O5">
    <cfRule type="expression" dxfId="4" priority="6">
      <formula>#REF!="입점"</formula>
    </cfRule>
  </conditionalFormatting>
  <conditionalFormatting sqref="D5">
    <cfRule type="expression" dxfId="3" priority="4">
      <formula>$L5="입점"</formula>
    </cfRule>
  </conditionalFormatting>
  <conditionalFormatting sqref="E5:F5">
    <cfRule type="expression" dxfId="2" priority="3">
      <formula>$L5="입점"</formula>
    </cfRule>
  </conditionalFormatting>
  <conditionalFormatting sqref="I5">
    <cfRule type="expression" dxfId="1" priority="2">
      <formula>$L5="입점"</formula>
    </cfRule>
  </conditionalFormatting>
  <conditionalFormatting sqref="J5">
    <cfRule type="expression" dxfId="0" priority="1">
      <formula>$L5="입점"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landscape" verticalDpi="4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355E-A598-4BA7-BF58-A2359473912F}">
  <sheetPr>
    <pageSetUpPr fitToPage="1"/>
  </sheetPr>
  <dimension ref="A1:AC39"/>
  <sheetViews>
    <sheetView zoomScaleNormal="100" workbookViewId="0">
      <selection activeCell="P14" sqref="P14"/>
    </sheetView>
  </sheetViews>
  <sheetFormatPr defaultColWidth="8.88671875" defaultRowHeight="12"/>
  <cols>
    <col min="1" max="1" width="2.77734375" style="25" customWidth="1"/>
    <col min="2" max="2" width="5.77734375" style="23" customWidth="1"/>
    <col min="3" max="7" width="8.77734375" style="23" customWidth="1"/>
    <col min="8" max="11" width="10.77734375" style="23" customWidth="1"/>
    <col min="12" max="17" width="7.77734375" style="23" customWidth="1"/>
    <col min="18" max="21" width="7.77734375" style="417" customWidth="1"/>
    <col min="22" max="22" width="7.77734375" style="23" customWidth="1"/>
    <col min="23" max="23" width="7.77734375" style="22" customWidth="1"/>
    <col min="24" max="26" width="7.77734375" style="417" customWidth="1"/>
    <col min="27" max="27" width="8.88671875" style="22" customWidth="1"/>
    <col min="28" max="28" width="8.77734375" style="22" customWidth="1"/>
    <col min="29" max="16384" width="8.88671875" style="22"/>
  </cols>
  <sheetData>
    <row r="1" spans="1:29" ht="51" customHeight="1">
      <c r="A1" s="22"/>
      <c r="B1" s="20"/>
      <c r="D1" s="20"/>
      <c r="E1" s="20"/>
      <c r="F1" s="20"/>
      <c r="G1" s="20"/>
      <c r="H1" s="416"/>
    </row>
    <row r="2" spans="1:29">
      <c r="A2" s="22"/>
      <c r="B2" s="274"/>
      <c r="C2" s="274"/>
      <c r="D2" s="274"/>
      <c r="E2" s="274"/>
      <c r="F2" s="274"/>
      <c r="G2" s="274"/>
      <c r="H2" s="418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274"/>
      <c r="W2" s="274"/>
      <c r="X2" s="274"/>
      <c r="Y2" s="274"/>
      <c r="Z2" s="274"/>
      <c r="AA2" s="28"/>
      <c r="AB2" s="28"/>
    </row>
    <row r="3" spans="1:29">
      <c r="B3" s="428" t="s">
        <v>62</v>
      </c>
      <c r="C3" s="428" t="s">
        <v>537</v>
      </c>
      <c r="D3" s="428" t="s">
        <v>538</v>
      </c>
      <c r="E3" s="428" t="s">
        <v>540</v>
      </c>
      <c r="F3" s="428" t="s">
        <v>539</v>
      </c>
      <c r="G3" s="428" t="s">
        <v>74</v>
      </c>
      <c r="H3" s="428" t="s">
        <v>74</v>
      </c>
      <c r="I3" s="428" t="s">
        <v>535</v>
      </c>
      <c r="J3" s="428" t="s">
        <v>536</v>
      </c>
      <c r="K3" s="428" t="s">
        <v>23</v>
      </c>
      <c r="L3" s="428" t="s">
        <v>541</v>
      </c>
      <c r="M3" s="428"/>
      <c r="N3" s="428"/>
      <c r="O3" s="428"/>
      <c r="P3" s="428"/>
      <c r="Q3" s="428"/>
      <c r="R3" s="429" t="s">
        <v>285</v>
      </c>
      <c r="S3" s="429" t="s">
        <v>643</v>
      </c>
      <c r="T3" s="429" t="s">
        <v>545</v>
      </c>
      <c r="U3" s="429" t="s">
        <v>644</v>
      </c>
      <c r="V3" s="428" t="s">
        <v>330</v>
      </c>
      <c r="W3" s="428"/>
      <c r="X3" s="428"/>
      <c r="Y3" s="428"/>
      <c r="Z3" s="428"/>
      <c r="AA3" s="428" t="s">
        <v>41</v>
      </c>
      <c r="AB3" s="430" t="s">
        <v>547</v>
      </c>
      <c r="AC3" s="419"/>
    </row>
    <row r="4" spans="1:29">
      <c r="B4" s="428"/>
      <c r="C4" s="428"/>
      <c r="D4" s="428"/>
      <c r="E4" s="428"/>
      <c r="F4" s="428"/>
      <c r="G4" s="428"/>
      <c r="H4" s="428"/>
      <c r="I4" s="428"/>
      <c r="J4" s="428"/>
      <c r="K4" s="428"/>
      <c r="L4" s="415" t="s">
        <v>542</v>
      </c>
      <c r="M4" s="415" t="s">
        <v>238</v>
      </c>
      <c r="N4" s="415" t="s">
        <v>237</v>
      </c>
      <c r="O4" s="415" t="s">
        <v>543</v>
      </c>
      <c r="P4" s="415" t="s">
        <v>544</v>
      </c>
      <c r="Q4" s="415" t="s">
        <v>640</v>
      </c>
      <c r="R4" s="429"/>
      <c r="S4" s="429"/>
      <c r="T4" s="429"/>
      <c r="U4" s="429"/>
      <c r="V4" s="415" t="s">
        <v>330</v>
      </c>
      <c r="W4" s="415" t="s">
        <v>546</v>
      </c>
      <c r="X4" s="427" t="s">
        <v>286</v>
      </c>
      <c r="Y4" s="427" t="s">
        <v>111</v>
      </c>
      <c r="Z4" s="427" t="s">
        <v>348</v>
      </c>
      <c r="AA4" s="428"/>
      <c r="AB4" s="430"/>
      <c r="AC4" s="419"/>
    </row>
    <row r="5" spans="1:29" ht="13.5">
      <c r="B5" s="420">
        <v>1</v>
      </c>
      <c r="C5" s="420" t="s">
        <v>199</v>
      </c>
      <c r="D5" s="420" t="s">
        <v>197</v>
      </c>
      <c r="E5" s="432"/>
      <c r="F5" s="432"/>
      <c r="G5" s="434">
        <v>1234567890</v>
      </c>
      <c r="H5" s="431" t="s">
        <v>579</v>
      </c>
      <c r="I5" s="431" t="s">
        <v>548</v>
      </c>
      <c r="J5" s="433" t="s">
        <v>309</v>
      </c>
      <c r="K5" s="431" t="s">
        <v>579</v>
      </c>
      <c r="L5" s="420"/>
      <c r="M5" s="420"/>
      <c r="N5" s="420" t="s">
        <v>98</v>
      </c>
      <c r="O5" s="420"/>
      <c r="P5" s="436">
        <v>0.5</v>
      </c>
      <c r="Q5" s="420"/>
      <c r="R5" s="421">
        <v>70280</v>
      </c>
      <c r="S5" s="421">
        <v>69000</v>
      </c>
      <c r="T5" s="421">
        <f>IF(COUNTA(O5,Q5), R5, P5*R5)</f>
        <v>35140</v>
      </c>
      <c r="U5" s="421">
        <f>IF(COUNTA(O5,Q5), S5, P5*S5)</f>
        <v>34500</v>
      </c>
      <c r="V5" s="422"/>
      <c r="W5" s="422"/>
      <c r="X5" s="423"/>
      <c r="Y5" s="421">
        <f>IF(COUNTA(V5), S5+X5, S5)</f>
        <v>69000</v>
      </c>
      <c r="Z5" s="421">
        <f>_xlfn.IFS(AND(COUNTA(V5), (COUNTA(O5,Q5) = 0)), U5+X5*P5, AND(COUNTA(V5), (COUNTA(O5,Q5) &gt; 0)), U5+X5, TRUE, U5)</f>
        <v>34500</v>
      </c>
      <c r="AA5" s="422"/>
      <c r="AB5" s="422" t="s">
        <v>118</v>
      </c>
      <c r="AC5" s="419"/>
    </row>
    <row r="6" spans="1:29" ht="13.5">
      <c r="B6" s="420">
        <v>2</v>
      </c>
      <c r="C6" s="420" t="s">
        <v>199</v>
      </c>
      <c r="D6" s="420" t="s">
        <v>197</v>
      </c>
      <c r="E6" s="432"/>
      <c r="F6" s="432"/>
      <c r="G6" s="434">
        <v>1234567891</v>
      </c>
      <c r="H6" s="431" t="s">
        <v>585</v>
      </c>
      <c r="I6" s="431" t="s">
        <v>549</v>
      </c>
      <c r="J6" s="433" t="s">
        <v>309</v>
      </c>
      <c r="K6" s="431" t="s">
        <v>585</v>
      </c>
      <c r="L6" s="420"/>
      <c r="M6" s="420"/>
      <c r="N6" s="420"/>
      <c r="O6" s="420"/>
      <c r="P6" s="436">
        <v>0.5</v>
      </c>
      <c r="Q6" s="420"/>
      <c r="R6" s="421">
        <v>11410</v>
      </c>
      <c r="S6" s="421">
        <v>11000</v>
      </c>
      <c r="T6" s="421">
        <f>IF(COUNTA(O6,Q6), R6, P6*R6)</f>
        <v>5705</v>
      </c>
      <c r="U6" s="421">
        <f>IF(COUNTA(O6,Q6), S6, P6*S6)</f>
        <v>5500</v>
      </c>
      <c r="V6" s="422"/>
      <c r="W6" s="422"/>
      <c r="X6" s="423"/>
      <c r="Y6" s="421">
        <f t="shared" ref="Y6:Y38" si="0">IF(COUNTA(V6), S6+X6, S6)</f>
        <v>11000</v>
      </c>
      <c r="Z6" s="421">
        <f t="shared" ref="Z6:Z38" si="1">_xlfn.IFS(AND(COUNTA(V6), (COUNTA(O6,Q6) = 0)), U6+X6*P6, AND(COUNTA(V6), (COUNTA(O6,Q6) &gt; 0)), U6+X6, TRUE, U6)</f>
        <v>5500</v>
      </c>
      <c r="AA6" s="422"/>
      <c r="AB6" s="422" t="s">
        <v>118</v>
      </c>
      <c r="AC6" s="419"/>
    </row>
    <row r="7" spans="1:29" ht="13.5">
      <c r="B7" s="420">
        <v>3</v>
      </c>
      <c r="C7" s="420" t="s">
        <v>199</v>
      </c>
      <c r="D7" s="420" t="s">
        <v>198</v>
      </c>
      <c r="E7" s="432"/>
      <c r="F7" s="432"/>
      <c r="G7" s="434">
        <v>1234567892</v>
      </c>
      <c r="H7" s="431" t="s">
        <v>586</v>
      </c>
      <c r="I7" s="431" t="s">
        <v>550</v>
      </c>
      <c r="J7" s="433" t="s">
        <v>309</v>
      </c>
      <c r="K7" s="431" t="s">
        <v>586</v>
      </c>
      <c r="L7" s="420"/>
      <c r="M7" s="420"/>
      <c r="N7" s="420"/>
      <c r="O7" s="420"/>
      <c r="P7" s="436">
        <v>0.5</v>
      </c>
      <c r="Q7" s="420"/>
      <c r="R7" s="421">
        <v>8860</v>
      </c>
      <c r="S7" s="421">
        <v>9000</v>
      </c>
      <c r="T7" s="421">
        <f>IF(COUNTA(O7,Q7), R7, P7*R7)</f>
        <v>4430</v>
      </c>
      <c r="U7" s="421">
        <f t="shared" ref="U7:U38" si="2">IF(COUNTA(O7,Q7), S7, P7*S7)</f>
        <v>4500</v>
      </c>
      <c r="V7" s="422"/>
      <c r="W7" s="422"/>
      <c r="X7" s="423"/>
      <c r="Y7" s="421">
        <f t="shared" si="0"/>
        <v>9000</v>
      </c>
      <c r="Z7" s="421">
        <f t="shared" si="1"/>
        <v>4500</v>
      </c>
      <c r="AA7" s="422"/>
      <c r="AB7" s="422" t="s">
        <v>119</v>
      </c>
      <c r="AC7" s="419"/>
    </row>
    <row r="8" spans="1:29" ht="13.5">
      <c r="B8" s="420">
        <v>4</v>
      </c>
      <c r="C8" s="420" t="s">
        <v>200</v>
      </c>
      <c r="D8" s="420" t="s">
        <v>155</v>
      </c>
      <c r="E8" s="420" t="s">
        <v>551</v>
      </c>
      <c r="F8" s="420" t="s">
        <v>576</v>
      </c>
      <c r="G8" s="434">
        <v>1234567893</v>
      </c>
      <c r="H8" s="431" t="s">
        <v>588</v>
      </c>
      <c r="I8" s="433"/>
      <c r="J8" s="420" t="s">
        <v>623</v>
      </c>
      <c r="K8" s="431" t="s">
        <v>588</v>
      </c>
      <c r="L8" s="420"/>
      <c r="M8" s="420"/>
      <c r="N8" s="420"/>
      <c r="O8" s="420"/>
      <c r="P8" s="436">
        <v>0.5</v>
      </c>
      <c r="Q8" s="420"/>
      <c r="R8" s="421">
        <v>8660</v>
      </c>
      <c r="S8" s="421">
        <v>8000</v>
      </c>
      <c r="T8" s="421">
        <f>IF(COUNTA(O8,Q8), R8, P8*R8)</f>
        <v>4330</v>
      </c>
      <c r="U8" s="421">
        <f t="shared" si="2"/>
        <v>4000</v>
      </c>
      <c r="V8" s="422"/>
      <c r="W8" s="422"/>
      <c r="X8" s="423"/>
      <c r="Y8" s="421">
        <f t="shared" si="0"/>
        <v>8000</v>
      </c>
      <c r="Z8" s="421">
        <f t="shared" si="1"/>
        <v>4000</v>
      </c>
      <c r="AA8" s="422"/>
      <c r="AB8" s="422" t="s">
        <v>119</v>
      </c>
      <c r="AC8" s="419"/>
    </row>
    <row r="9" spans="1:29" ht="13.5">
      <c r="B9" s="420">
        <v>5</v>
      </c>
      <c r="C9" s="420" t="s">
        <v>200</v>
      </c>
      <c r="D9" s="420" t="s">
        <v>155</v>
      </c>
      <c r="E9" s="420" t="s">
        <v>552</v>
      </c>
      <c r="F9" s="420" t="s">
        <v>577</v>
      </c>
      <c r="G9" s="434">
        <v>1234567894</v>
      </c>
      <c r="H9" s="431" t="s">
        <v>589</v>
      </c>
      <c r="I9" s="433"/>
      <c r="J9" s="420" t="s">
        <v>625</v>
      </c>
      <c r="K9" s="431" t="s">
        <v>589</v>
      </c>
      <c r="L9" s="420"/>
      <c r="M9" s="420"/>
      <c r="N9" s="420"/>
      <c r="O9" s="420"/>
      <c r="P9" s="436">
        <v>0.5</v>
      </c>
      <c r="Q9" s="420"/>
      <c r="R9" s="421">
        <v>15820</v>
      </c>
      <c r="S9" s="421">
        <v>15000</v>
      </c>
      <c r="T9" s="421">
        <f>IF(COUNTA(O9,Q9), R9, P9*R9)</f>
        <v>7910</v>
      </c>
      <c r="U9" s="421">
        <f t="shared" si="2"/>
        <v>7500</v>
      </c>
      <c r="V9" s="420" t="s">
        <v>98</v>
      </c>
      <c r="W9" s="422" t="s">
        <v>641</v>
      </c>
      <c r="X9" s="423">
        <v>1000</v>
      </c>
      <c r="Y9" s="421">
        <f t="shared" si="0"/>
        <v>16000</v>
      </c>
      <c r="Z9" s="421">
        <f t="shared" si="1"/>
        <v>8000</v>
      </c>
      <c r="AA9" s="422"/>
      <c r="AB9" s="422" t="s">
        <v>120</v>
      </c>
      <c r="AC9" s="419"/>
    </row>
    <row r="10" spans="1:29" ht="13.5">
      <c r="B10" s="420">
        <v>6</v>
      </c>
      <c r="C10" s="420" t="s">
        <v>199</v>
      </c>
      <c r="D10" s="420" t="s">
        <v>197</v>
      </c>
      <c r="E10" s="432" t="s">
        <v>309</v>
      </c>
      <c r="F10" s="432"/>
      <c r="G10" s="434">
        <v>1234567895</v>
      </c>
      <c r="H10" s="431" t="s">
        <v>590</v>
      </c>
      <c r="I10" s="431" t="s">
        <v>554</v>
      </c>
      <c r="J10" s="433" t="s">
        <v>309</v>
      </c>
      <c r="K10" s="431" t="s">
        <v>590</v>
      </c>
      <c r="L10" s="420"/>
      <c r="M10" s="420" t="s">
        <v>98</v>
      </c>
      <c r="N10" s="420"/>
      <c r="O10" s="420"/>
      <c r="P10" s="436">
        <v>0.5</v>
      </c>
      <c r="Q10" s="420"/>
      <c r="R10" s="421">
        <v>11710</v>
      </c>
      <c r="S10" s="421">
        <v>11000</v>
      </c>
      <c r="T10" s="421">
        <f>IF(COUNTA(O10,Q10), R10, P10*R10)</f>
        <v>5855</v>
      </c>
      <c r="U10" s="421">
        <f t="shared" si="2"/>
        <v>5500</v>
      </c>
      <c r="V10" s="420"/>
      <c r="W10" s="422"/>
      <c r="X10" s="423"/>
      <c r="Y10" s="421">
        <f t="shared" si="0"/>
        <v>11000</v>
      </c>
      <c r="Z10" s="421">
        <f t="shared" si="1"/>
        <v>5500</v>
      </c>
      <c r="AA10" s="422"/>
      <c r="AB10" s="422" t="s">
        <v>121</v>
      </c>
      <c r="AC10" s="419"/>
    </row>
    <row r="11" spans="1:29" ht="13.5">
      <c r="B11" s="420">
        <v>7</v>
      </c>
      <c r="C11" s="420" t="s">
        <v>199</v>
      </c>
      <c r="D11" s="420" t="s">
        <v>197</v>
      </c>
      <c r="E11" s="432" t="s">
        <v>309</v>
      </c>
      <c r="F11" s="432"/>
      <c r="G11" s="434">
        <v>1234567896</v>
      </c>
      <c r="H11" s="431" t="s">
        <v>591</v>
      </c>
      <c r="I11" s="431" t="s">
        <v>555</v>
      </c>
      <c r="J11" s="433" t="s">
        <v>309</v>
      </c>
      <c r="K11" s="431" t="s">
        <v>591</v>
      </c>
      <c r="L11" s="420"/>
      <c r="M11" s="420" t="s">
        <v>98</v>
      </c>
      <c r="N11" s="420"/>
      <c r="O11" s="420"/>
      <c r="P11" s="436">
        <v>0.5</v>
      </c>
      <c r="Q11" s="420"/>
      <c r="R11" s="421">
        <v>16230</v>
      </c>
      <c r="S11" s="421">
        <v>16000</v>
      </c>
      <c r="T11" s="421">
        <f>IF(COUNTA(O11,Q11), R11, P11*R11)</f>
        <v>8115</v>
      </c>
      <c r="U11" s="421">
        <f t="shared" si="2"/>
        <v>8000</v>
      </c>
      <c r="V11" s="422"/>
      <c r="W11" s="422"/>
      <c r="X11" s="423"/>
      <c r="Y11" s="421">
        <f t="shared" si="0"/>
        <v>16000</v>
      </c>
      <c r="Z11" s="421">
        <f t="shared" si="1"/>
        <v>8000</v>
      </c>
      <c r="AA11" s="422"/>
      <c r="AB11" s="422" t="s">
        <v>121</v>
      </c>
      <c r="AC11" s="419"/>
    </row>
    <row r="12" spans="1:29" ht="13.5">
      <c r="B12" s="420">
        <v>8</v>
      </c>
      <c r="C12" s="420" t="s">
        <v>200</v>
      </c>
      <c r="D12" s="420" t="s">
        <v>155</v>
      </c>
      <c r="E12" s="420" t="s">
        <v>553</v>
      </c>
      <c r="F12" s="420" t="s">
        <v>578</v>
      </c>
      <c r="G12" s="434">
        <v>1234567897</v>
      </c>
      <c r="H12" s="431" t="s">
        <v>593</v>
      </c>
      <c r="I12" s="433"/>
      <c r="J12" s="420" t="s">
        <v>627</v>
      </c>
      <c r="K12" s="431" t="s">
        <v>593</v>
      </c>
      <c r="L12" s="420"/>
      <c r="M12" s="420"/>
      <c r="N12" s="420"/>
      <c r="O12" s="420"/>
      <c r="P12" s="436">
        <v>0.5</v>
      </c>
      <c r="Q12" s="420"/>
      <c r="R12" s="421">
        <v>14490</v>
      </c>
      <c r="S12" s="421">
        <v>14000</v>
      </c>
      <c r="T12" s="421">
        <f>IF(COUNTA(O12,Q12), R12, P12*R12)</f>
        <v>7245</v>
      </c>
      <c r="U12" s="421">
        <f t="shared" si="2"/>
        <v>7000</v>
      </c>
      <c r="V12" s="422"/>
      <c r="W12" s="422"/>
      <c r="X12" s="423"/>
      <c r="Y12" s="421">
        <f t="shared" si="0"/>
        <v>14000</v>
      </c>
      <c r="Z12" s="421">
        <f t="shared" si="1"/>
        <v>7000</v>
      </c>
      <c r="AA12" s="422"/>
      <c r="AB12" s="422" t="s">
        <v>122</v>
      </c>
      <c r="AC12" s="419"/>
    </row>
    <row r="13" spans="1:29" ht="13.5">
      <c r="B13" s="420">
        <v>9</v>
      </c>
      <c r="C13" s="420" t="s">
        <v>199</v>
      </c>
      <c r="D13" s="420" t="s">
        <v>198</v>
      </c>
      <c r="E13" s="432" t="s">
        <v>309</v>
      </c>
      <c r="F13" s="432"/>
      <c r="G13" s="434">
        <v>1234567898</v>
      </c>
      <c r="H13" s="431" t="s">
        <v>594</v>
      </c>
      <c r="I13" s="431" t="s">
        <v>556</v>
      </c>
      <c r="J13" s="433" t="s">
        <v>309</v>
      </c>
      <c r="K13" s="431" t="s">
        <v>594</v>
      </c>
      <c r="L13" s="420"/>
      <c r="M13" s="420" t="s">
        <v>98</v>
      </c>
      <c r="N13" s="420"/>
      <c r="O13" s="420"/>
      <c r="P13" s="436">
        <v>0.5</v>
      </c>
      <c r="Q13" s="420"/>
      <c r="R13" s="421">
        <v>18620</v>
      </c>
      <c r="S13" s="421">
        <v>18000</v>
      </c>
      <c r="T13" s="421">
        <f>IF(COUNTA(O13,Q13), R13, P13*R13)</f>
        <v>9310</v>
      </c>
      <c r="U13" s="421">
        <f t="shared" si="2"/>
        <v>9000</v>
      </c>
      <c r="V13" s="422"/>
      <c r="W13" s="422"/>
      <c r="X13" s="423"/>
      <c r="Y13" s="421">
        <f t="shared" si="0"/>
        <v>18000</v>
      </c>
      <c r="Z13" s="421">
        <f t="shared" si="1"/>
        <v>9000</v>
      </c>
      <c r="AA13" s="422"/>
      <c r="AB13" s="422" t="s">
        <v>122</v>
      </c>
      <c r="AC13" s="419"/>
    </row>
    <row r="14" spans="1:29" ht="13.5">
      <c r="B14" s="420">
        <v>10</v>
      </c>
      <c r="C14" s="420" t="s">
        <v>200</v>
      </c>
      <c r="D14" s="420" t="s">
        <v>155</v>
      </c>
      <c r="E14" s="420" t="s">
        <v>552</v>
      </c>
      <c r="F14" s="420" t="s">
        <v>577</v>
      </c>
      <c r="G14" s="434">
        <v>1234567899</v>
      </c>
      <c r="H14" s="431" t="s">
        <v>596</v>
      </c>
      <c r="I14" s="433"/>
      <c r="J14" s="420" t="s">
        <v>629</v>
      </c>
      <c r="K14" s="431" t="s">
        <v>596</v>
      </c>
      <c r="L14" s="420"/>
      <c r="M14" s="420"/>
      <c r="N14" s="420"/>
      <c r="O14" s="420"/>
      <c r="P14" s="436">
        <v>0.5</v>
      </c>
      <c r="Q14" s="420"/>
      <c r="R14" s="421">
        <v>14350</v>
      </c>
      <c r="S14" s="421">
        <v>14000</v>
      </c>
      <c r="T14" s="421">
        <f>IF(COUNTA(O14,Q14), R14, P14*R14)</f>
        <v>7175</v>
      </c>
      <c r="U14" s="421">
        <f t="shared" si="2"/>
        <v>7000</v>
      </c>
      <c r="V14" s="422"/>
      <c r="W14" s="422"/>
      <c r="X14" s="423"/>
      <c r="Y14" s="421">
        <f t="shared" si="0"/>
        <v>14000</v>
      </c>
      <c r="Z14" s="421">
        <f t="shared" si="1"/>
        <v>7000</v>
      </c>
      <c r="AA14" s="422"/>
      <c r="AB14" s="422" t="s">
        <v>123</v>
      </c>
      <c r="AC14" s="419"/>
    </row>
    <row r="15" spans="1:29" ht="13.5">
      <c r="B15" s="420">
        <v>11</v>
      </c>
      <c r="C15" s="420" t="s">
        <v>200</v>
      </c>
      <c r="D15" s="420" t="s">
        <v>155</v>
      </c>
      <c r="E15" s="420" t="s">
        <v>553</v>
      </c>
      <c r="F15" s="420" t="s">
        <v>578</v>
      </c>
      <c r="G15" s="434">
        <v>1234567900</v>
      </c>
      <c r="H15" s="431" t="s">
        <v>598</v>
      </c>
      <c r="I15" s="433"/>
      <c r="J15" s="420" t="s">
        <v>631</v>
      </c>
      <c r="K15" s="431" t="s">
        <v>598</v>
      </c>
      <c r="L15" s="420"/>
      <c r="M15" s="420"/>
      <c r="N15" s="420" t="s">
        <v>98</v>
      </c>
      <c r="O15" s="420"/>
      <c r="P15" s="436">
        <v>0.5</v>
      </c>
      <c r="Q15" s="420"/>
      <c r="R15" s="421">
        <v>53690</v>
      </c>
      <c r="S15" s="421">
        <v>53000</v>
      </c>
      <c r="T15" s="421">
        <f>IF(COUNTA(O15,Q15), R15, P15*R15)</f>
        <v>26845</v>
      </c>
      <c r="U15" s="421">
        <f t="shared" si="2"/>
        <v>26500</v>
      </c>
      <c r="V15" s="422"/>
      <c r="W15" s="422"/>
      <c r="X15" s="423"/>
      <c r="Y15" s="421">
        <f t="shared" si="0"/>
        <v>53000</v>
      </c>
      <c r="Z15" s="421">
        <f t="shared" si="1"/>
        <v>26500</v>
      </c>
      <c r="AA15" s="422"/>
      <c r="AB15" s="422" t="s">
        <v>123</v>
      </c>
      <c r="AC15" s="419"/>
    </row>
    <row r="16" spans="1:29" ht="13.5">
      <c r="B16" s="420">
        <v>12</v>
      </c>
      <c r="C16" s="420" t="s">
        <v>199</v>
      </c>
      <c r="D16" s="420" t="s">
        <v>197</v>
      </c>
      <c r="E16" s="432" t="s">
        <v>309</v>
      </c>
      <c r="F16" s="432"/>
      <c r="G16" s="435">
        <v>1234567901</v>
      </c>
      <c r="H16" s="431" t="s">
        <v>581</v>
      </c>
      <c r="I16" s="431" t="s">
        <v>557</v>
      </c>
      <c r="J16" s="433" t="s">
        <v>309</v>
      </c>
      <c r="K16" s="431" t="s">
        <v>581</v>
      </c>
      <c r="L16" s="420"/>
      <c r="M16" s="420"/>
      <c r="N16" s="420"/>
      <c r="O16" s="420" t="s">
        <v>98</v>
      </c>
      <c r="P16" s="433" t="s">
        <v>309</v>
      </c>
      <c r="Q16" s="420"/>
      <c r="R16" s="421">
        <v>46060</v>
      </c>
      <c r="S16" s="421">
        <v>46000</v>
      </c>
      <c r="T16" s="421">
        <f>IF(COUNTA(O16,Q16), R16, P16*R16)</f>
        <v>46060</v>
      </c>
      <c r="U16" s="421">
        <f t="shared" si="2"/>
        <v>46000</v>
      </c>
      <c r="V16" s="422"/>
      <c r="W16" s="422"/>
      <c r="X16" s="423"/>
      <c r="Y16" s="421">
        <f t="shared" si="0"/>
        <v>46000</v>
      </c>
      <c r="Z16" s="421">
        <f t="shared" si="1"/>
        <v>46000</v>
      </c>
      <c r="AA16" s="422"/>
      <c r="AB16" s="422" t="s">
        <v>124</v>
      </c>
      <c r="AC16" s="419"/>
    </row>
    <row r="17" spans="2:29" ht="13.5">
      <c r="B17" s="420">
        <v>13</v>
      </c>
      <c r="C17" s="420" t="s">
        <v>199</v>
      </c>
      <c r="D17" s="420" t="s">
        <v>198</v>
      </c>
      <c r="E17" s="432" t="s">
        <v>309</v>
      </c>
      <c r="F17" s="432"/>
      <c r="G17" s="435">
        <v>1234567902</v>
      </c>
      <c r="H17" s="431" t="s">
        <v>582</v>
      </c>
      <c r="I17" s="431" t="s">
        <v>558</v>
      </c>
      <c r="J17" s="433" t="s">
        <v>309</v>
      </c>
      <c r="K17" s="431" t="s">
        <v>582</v>
      </c>
      <c r="L17" s="420"/>
      <c r="M17" s="420"/>
      <c r="N17" s="420" t="s">
        <v>98</v>
      </c>
      <c r="O17" s="420"/>
      <c r="P17" s="436">
        <v>0.5</v>
      </c>
      <c r="Q17" s="420" t="s">
        <v>98</v>
      </c>
      <c r="R17" s="421">
        <v>6900</v>
      </c>
      <c r="S17" s="421">
        <v>6000</v>
      </c>
      <c r="T17" s="421">
        <f>IF(COUNTA(O17,Q17), R17, P17*R17)</f>
        <v>6900</v>
      </c>
      <c r="U17" s="421">
        <f t="shared" si="2"/>
        <v>6000</v>
      </c>
      <c r="V17" s="420"/>
      <c r="W17" s="422"/>
      <c r="X17" s="423"/>
      <c r="Y17" s="421">
        <f t="shared" si="0"/>
        <v>6000</v>
      </c>
      <c r="Z17" s="421">
        <f t="shared" si="1"/>
        <v>6000</v>
      </c>
      <c r="AA17" s="422">
        <f>COUNTA(O17,Q17)</f>
        <v>1</v>
      </c>
      <c r="AB17" s="422" t="s">
        <v>124</v>
      </c>
      <c r="AC17" s="419"/>
    </row>
    <row r="18" spans="2:29" ht="13.5">
      <c r="B18" s="420">
        <v>14</v>
      </c>
      <c r="C18" s="420" t="s">
        <v>200</v>
      </c>
      <c r="D18" s="420" t="s">
        <v>155</v>
      </c>
      <c r="E18" s="420" t="s">
        <v>552</v>
      </c>
      <c r="F18" s="420" t="s">
        <v>577</v>
      </c>
      <c r="G18" s="434">
        <v>1234567903</v>
      </c>
      <c r="H18" s="431" t="s">
        <v>600</v>
      </c>
      <c r="I18" s="433"/>
      <c r="J18" s="420" t="s">
        <v>633</v>
      </c>
      <c r="K18" s="431" t="s">
        <v>600</v>
      </c>
      <c r="L18" s="420"/>
      <c r="M18" s="420"/>
      <c r="N18" s="420"/>
      <c r="O18" s="420"/>
      <c r="P18" s="436">
        <v>0.5</v>
      </c>
      <c r="Q18" s="420"/>
      <c r="R18" s="421">
        <v>66710</v>
      </c>
      <c r="S18" s="421">
        <v>66000</v>
      </c>
      <c r="T18" s="421">
        <f>IF(COUNTA(O18,Q18), R18, P18*R18)</f>
        <v>33355</v>
      </c>
      <c r="U18" s="421">
        <f t="shared" si="2"/>
        <v>33000</v>
      </c>
      <c r="V18" s="422"/>
      <c r="W18" s="422"/>
      <c r="X18" s="423"/>
      <c r="Y18" s="421">
        <f t="shared" si="0"/>
        <v>66000</v>
      </c>
      <c r="Z18" s="421">
        <f t="shared" si="1"/>
        <v>33000</v>
      </c>
      <c r="AA18" s="422"/>
      <c r="AB18" s="422" t="s">
        <v>125</v>
      </c>
      <c r="AC18" s="419"/>
    </row>
    <row r="19" spans="2:29" ht="13.5">
      <c r="B19" s="420">
        <v>15</v>
      </c>
      <c r="C19" s="420" t="s">
        <v>199</v>
      </c>
      <c r="D19" s="420" t="s">
        <v>197</v>
      </c>
      <c r="E19" s="432" t="s">
        <v>309</v>
      </c>
      <c r="F19" s="432"/>
      <c r="G19" s="435">
        <v>1234567904</v>
      </c>
      <c r="H19" s="431" t="s">
        <v>583</v>
      </c>
      <c r="I19" s="431" t="s">
        <v>559</v>
      </c>
      <c r="J19" s="433" t="s">
        <v>309</v>
      </c>
      <c r="K19" s="431" t="s">
        <v>583</v>
      </c>
      <c r="L19" s="420"/>
      <c r="M19" s="420" t="s">
        <v>98</v>
      </c>
      <c r="N19" s="420"/>
      <c r="O19" s="420"/>
      <c r="P19" s="436">
        <v>0.5</v>
      </c>
      <c r="Q19" s="420"/>
      <c r="R19" s="421">
        <v>6570</v>
      </c>
      <c r="S19" s="421">
        <v>6000</v>
      </c>
      <c r="T19" s="421">
        <f>IF(COUNTA(O19,Q19), R19, P19*R19)</f>
        <v>3285</v>
      </c>
      <c r="U19" s="421">
        <f t="shared" si="2"/>
        <v>3000</v>
      </c>
      <c r="V19" s="422"/>
      <c r="W19" s="422"/>
      <c r="X19" s="423"/>
      <c r="Y19" s="421">
        <f t="shared" si="0"/>
        <v>6000</v>
      </c>
      <c r="Z19" s="421">
        <f t="shared" si="1"/>
        <v>3000</v>
      </c>
      <c r="AA19" s="422"/>
      <c r="AB19" s="422" t="s">
        <v>125</v>
      </c>
      <c r="AC19" s="419"/>
    </row>
    <row r="20" spans="2:29" ht="13.5">
      <c r="B20" s="420">
        <v>16</v>
      </c>
      <c r="C20" s="420" t="s">
        <v>200</v>
      </c>
      <c r="D20" s="420" t="s">
        <v>155</v>
      </c>
      <c r="E20" s="420" t="s">
        <v>551</v>
      </c>
      <c r="F20" s="420" t="s">
        <v>576</v>
      </c>
      <c r="G20" s="434">
        <v>1234567905</v>
      </c>
      <c r="H20" s="431" t="s">
        <v>602</v>
      </c>
      <c r="I20" s="433"/>
      <c r="J20" s="420" t="s">
        <v>635</v>
      </c>
      <c r="K20" s="431" t="s">
        <v>602</v>
      </c>
      <c r="L20" s="420"/>
      <c r="M20" s="420"/>
      <c r="N20" s="420"/>
      <c r="O20" s="420"/>
      <c r="P20" s="436">
        <v>0.5</v>
      </c>
      <c r="Q20" s="420"/>
      <c r="R20" s="421">
        <v>70280</v>
      </c>
      <c r="S20" s="421">
        <v>70000</v>
      </c>
      <c r="T20" s="421">
        <f>IF(COUNTA(O20,Q20), R20, P20*R20)</f>
        <v>35140</v>
      </c>
      <c r="U20" s="421">
        <f t="shared" si="2"/>
        <v>35000</v>
      </c>
      <c r="V20" s="422"/>
      <c r="W20" s="422"/>
      <c r="X20" s="423"/>
      <c r="Y20" s="421">
        <f t="shared" si="0"/>
        <v>70000</v>
      </c>
      <c r="Z20" s="421">
        <f t="shared" si="1"/>
        <v>35000</v>
      </c>
      <c r="AA20" s="422"/>
      <c r="AB20" s="422" t="s">
        <v>126</v>
      </c>
      <c r="AC20" s="419"/>
    </row>
    <row r="21" spans="2:29" ht="13.5">
      <c r="B21" s="420">
        <v>17</v>
      </c>
      <c r="C21" s="420" t="s">
        <v>199</v>
      </c>
      <c r="D21" s="420" t="s">
        <v>197</v>
      </c>
      <c r="E21" s="432" t="s">
        <v>309</v>
      </c>
      <c r="F21" s="432"/>
      <c r="G21" s="434">
        <v>1234567906</v>
      </c>
      <c r="H21" s="431" t="s">
        <v>603</v>
      </c>
      <c r="I21" s="431" t="s">
        <v>560</v>
      </c>
      <c r="J21" s="433" t="s">
        <v>309</v>
      </c>
      <c r="K21" s="431" t="s">
        <v>603</v>
      </c>
      <c r="L21" s="420"/>
      <c r="M21" s="420" t="s">
        <v>98</v>
      </c>
      <c r="N21" s="420"/>
      <c r="O21" s="420"/>
      <c r="P21" s="436">
        <v>0.5</v>
      </c>
      <c r="Q21" s="420"/>
      <c r="R21" s="421">
        <v>16230</v>
      </c>
      <c r="S21" s="421">
        <v>16000</v>
      </c>
      <c r="T21" s="421">
        <f>IF(COUNTA(O21,Q21), R21, P21*R21)</f>
        <v>8115</v>
      </c>
      <c r="U21" s="421">
        <f t="shared" si="2"/>
        <v>8000</v>
      </c>
      <c r="V21" s="422"/>
      <c r="W21" s="422"/>
      <c r="X21" s="423"/>
      <c r="Y21" s="421">
        <f t="shared" si="0"/>
        <v>16000</v>
      </c>
      <c r="Z21" s="421">
        <f t="shared" si="1"/>
        <v>8000</v>
      </c>
      <c r="AA21" s="422"/>
      <c r="AB21" s="422" t="s">
        <v>127</v>
      </c>
      <c r="AC21" s="419"/>
    </row>
    <row r="22" spans="2:29" ht="13.5">
      <c r="B22" s="420">
        <v>18</v>
      </c>
      <c r="C22" s="420" t="s">
        <v>199</v>
      </c>
      <c r="D22" s="420" t="s">
        <v>197</v>
      </c>
      <c r="E22" s="432" t="s">
        <v>309</v>
      </c>
      <c r="F22" s="432"/>
      <c r="G22" s="434">
        <v>1234567907</v>
      </c>
      <c r="H22" s="431" t="s">
        <v>604</v>
      </c>
      <c r="I22" s="431" t="s">
        <v>561</v>
      </c>
      <c r="J22" s="433" t="s">
        <v>309</v>
      </c>
      <c r="K22" s="431" t="s">
        <v>604</v>
      </c>
      <c r="L22" s="420"/>
      <c r="M22" s="420" t="s">
        <v>98</v>
      </c>
      <c r="N22" s="420"/>
      <c r="O22" s="420"/>
      <c r="P22" s="436">
        <v>0.5</v>
      </c>
      <c r="Q22" s="420"/>
      <c r="R22" s="421">
        <v>32200</v>
      </c>
      <c r="S22" s="421">
        <v>32000</v>
      </c>
      <c r="T22" s="421">
        <f>IF(COUNTA(O22,Q22), R22, P22*R22)</f>
        <v>16100</v>
      </c>
      <c r="U22" s="421">
        <f t="shared" si="2"/>
        <v>16000</v>
      </c>
      <c r="V22" s="422"/>
      <c r="W22" s="422"/>
      <c r="X22" s="423"/>
      <c r="Y22" s="421">
        <f t="shared" si="0"/>
        <v>32000</v>
      </c>
      <c r="Z22" s="421">
        <f t="shared" si="1"/>
        <v>16000</v>
      </c>
      <c r="AA22" s="422"/>
      <c r="AB22" s="422" t="s">
        <v>127</v>
      </c>
      <c r="AC22" s="419"/>
    </row>
    <row r="23" spans="2:29" ht="13.5">
      <c r="B23" s="420">
        <v>19</v>
      </c>
      <c r="C23" s="420" t="s">
        <v>199</v>
      </c>
      <c r="D23" s="420" t="s">
        <v>197</v>
      </c>
      <c r="E23" s="432" t="s">
        <v>309</v>
      </c>
      <c r="F23" s="432"/>
      <c r="G23" s="434">
        <v>1234567908</v>
      </c>
      <c r="H23" s="431" t="s">
        <v>605</v>
      </c>
      <c r="I23" s="431" t="s">
        <v>562</v>
      </c>
      <c r="J23" s="433" t="s">
        <v>309</v>
      </c>
      <c r="K23" s="431" t="s">
        <v>605</v>
      </c>
      <c r="L23" s="420"/>
      <c r="M23" s="420"/>
      <c r="N23" s="420" t="s">
        <v>98</v>
      </c>
      <c r="O23" s="420"/>
      <c r="P23" s="436">
        <v>0.5</v>
      </c>
      <c r="Q23" s="420"/>
      <c r="R23" s="421">
        <v>10290</v>
      </c>
      <c r="S23" s="421">
        <v>10000</v>
      </c>
      <c r="T23" s="421">
        <f>IF(COUNTA(O23,Q23), R23, P23*R23)</f>
        <v>5145</v>
      </c>
      <c r="U23" s="421">
        <f t="shared" si="2"/>
        <v>5000</v>
      </c>
      <c r="V23" s="422"/>
      <c r="W23" s="422"/>
      <c r="X23" s="423"/>
      <c r="Y23" s="421">
        <f t="shared" si="0"/>
        <v>10000</v>
      </c>
      <c r="Z23" s="421">
        <f t="shared" si="1"/>
        <v>5000</v>
      </c>
      <c r="AA23" s="422"/>
      <c r="AB23" s="422" t="s">
        <v>128</v>
      </c>
      <c r="AC23" s="419"/>
    </row>
    <row r="24" spans="2:29" ht="13.5">
      <c r="B24" s="420">
        <v>20</v>
      </c>
      <c r="C24" s="420" t="s">
        <v>199</v>
      </c>
      <c r="D24" s="420" t="s">
        <v>198</v>
      </c>
      <c r="E24" s="432" t="s">
        <v>309</v>
      </c>
      <c r="F24" s="432"/>
      <c r="G24" s="434">
        <v>1234567909</v>
      </c>
      <c r="H24" s="431" t="s">
        <v>606</v>
      </c>
      <c r="I24" s="431" t="s">
        <v>563</v>
      </c>
      <c r="J24" s="433" t="s">
        <v>309</v>
      </c>
      <c r="K24" s="431" t="s">
        <v>606</v>
      </c>
      <c r="L24" s="420"/>
      <c r="M24" s="420"/>
      <c r="N24" s="420"/>
      <c r="O24" s="420"/>
      <c r="P24" s="436">
        <v>0.5</v>
      </c>
      <c r="Q24" s="420"/>
      <c r="R24" s="421">
        <v>9340</v>
      </c>
      <c r="S24" s="421">
        <v>9000</v>
      </c>
      <c r="T24" s="421">
        <f>IF(COUNTA(O24,Q24), R24, P24*R24)</f>
        <v>4670</v>
      </c>
      <c r="U24" s="421">
        <f t="shared" si="2"/>
        <v>4500</v>
      </c>
      <c r="V24" s="422"/>
      <c r="W24" s="422"/>
      <c r="X24" s="423"/>
      <c r="Y24" s="421">
        <f t="shared" si="0"/>
        <v>9000</v>
      </c>
      <c r="Z24" s="421">
        <f t="shared" si="1"/>
        <v>4500</v>
      </c>
      <c r="AA24" s="422"/>
      <c r="AB24" s="422" t="s">
        <v>128</v>
      </c>
      <c r="AC24" s="419"/>
    </row>
    <row r="25" spans="2:29" ht="13.5">
      <c r="B25" s="420">
        <v>21</v>
      </c>
      <c r="C25" s="420" t="s">
        <v>199</v>
      </c>
      <c r="D25" s="420" t="s">
        <v>197</v>
      </c>
      <c r="E25" s="432" t="s">
        <v>309</v>
      </c>
      <c r="F25" s="432"/>
      <c r="G25" s="434">
        <v>1234567910</v>
      </c>
      <c r="H25" s="431" t="s">
        <v>607</v>
      </c>
      <c r="I25" s="431" t="s">
        <v>564</v>
      </c>
      <c r="J25" s="433" t="s">
        <v>309</v>
      </c>
      <c r="K25" s="431" t="s">
        <v>607</v>
      </c>
      <c r="L25" s="420"/>
      <c r="M25" s="420"/>
      <c r="N25" s="420"/>
      <c r="O25" s="420"/>
      <c r="P25" s="436">
        <v>0.5</v>
      </c>
      <c r="Q25" s="420"/>
      <c r="R25" s="421">
        <v>8500</v>
      </c>
      <c r="S25" s="421">
        <v>8000</v>
      </c>
      <c r="T25" s="421">
        <f>IF(COUNTA(O25,Q25), R25, P25*R25)</f>
        <v>4250</v>
      </c>
      <c r="U25" s="421">
        <f t="shared" si="2"/>
        <v>4000</v>
      </c>
      <c r="V25" s="422"/>
      <c r="W25" s="422"/>
      <c r="X25" s="423"/>
      <c r="Y25" s="421">
        <f t="shared" si="0"/>
        <v>8000</v>
      </c>
      <c r="Z25" s="421">
        <f t="shared" si="1"/>
        <v>4000</v>
      </c>
      <c r="AA25" s="422"/>
      <c r="AB25" s="422" t="s">
        <v>129</v>
      </c>
      <c r="AC25" s="419"/>
    </row>
    <row r="26" spans="2:29" ht="13.5">
      <c r="B26" s="420">
        <v>22</v>
      </c>
      <c r="C26" s="420" t="s">
        <v>200</v>
      </c>
      <c r="D26" s="420" t="s">
        <v>155</v>
      </c>
      <c r="E26" s="420" t="s">
        <v>551</v>
      </c>
      <c r="F26" s="420" t="s">
        <v>576</v>
      </c>
      <c r="G26" s="434">
        <v>1234567911</v>
      </c>
      <c r="H26" s="431" t="s">
        <v>609</v>
      </c>
      <c r="I26" s="433"/>
      <c r="J26" s="420" t="s">
        <v>637</v>
      </c>
      <c r="K26" s="431" t="s">
        <v>609</v>
      </c>
      <c r="L26" s="420"/>
      <c r="M26" s="420"/>
      <c r="N26" s="420" t="s">
        <v>98</v>
      </c>
      <c r="O26" s="420" t="s">
        <v>98</v>
      </c>
      <c r="P26" s="433" t="s">
        <v>309</v>
      </c>
      <c r="Q26" s="420"/>
      <c r="R26" s="421">
        <v>11490</v>
      </c>
      <c r="S26" s="421">
        <v>11000</v>
      </c>
      <c r="T26" s="421">
        <f>IF(COUNTA(O26,Q26), R26, P26*R26)</f>
        <v>11490</v>
      </c>
      <c r="U26" s="421">
        <f t="shared" si="2"/>
        <v>11000</v>
      </c>
      <c r="V26" s="420" t="s">
        <v>98</v>
      </c>
      <c r="W26" s="422" t="s">
        <v>642</v>
      </c>
      <c r="X26" s="423">
        <v>3000</v>
      </c>
      <c r="Y26" s="421">
        <f t="shared" si="0"/>
        <v>14000</v>
      </c>
      <c r="Z26" s="421">
        <f t="shared" si="1"/>
        <v>14000</v>
      </c>
      <c r="AA26" s="422"/>
      <c r="AB26" s="422" t="s">
        <v>129</v>
      </c>
      <c r="AC26" s="419"/>
    </row>
    <row r="27" spans="2:29" ht="13.5">
      <c r="B27" s="420">
        <v>23</v>
      </c>
      <c r="C27" s="420" t="s">
        <v>200</v>
      </c>
      <c r="D27" s="420" t="s">
        <v>155</v>
      </c>
      <c r="E27" s="420" t="s">
        <v>552</v>
      </c>
      <c r="F27" s="420" t="s">
        <v>577</v>
      </c>
      <c r="G27" s="434">
        <v>1234567912</v>
      </c>
      <c r="H27" s="431" t="s">
        <v>611</v>
      </c>
      <c r="I27" s="433"/>
      <c r="J27" s="420" t="s">
        <v>639</v>
      </c>
      <c r="K27" s="431" t="s">
        <v>611</v>
      </c>
      <c r="L27" s="420"/>
      <c r="M27" s="420"/>
      <c r="N27" s="420"/>
      <c r="O27" s="420"/>
      <c r="P27" s="436">
        <v>0.5</v>
      </c>
      <c r="Q27" s="420" t="s">
        <v>98</v>
      </c>
      <c r="R27" s="421">
        <v>33390</v>
      </c>
      <c r="S27" s="421">
        <v>33000</v>
      </c>
      <c r="T27" s="421">
        <f>IF(COUNTA(O27,Q27), R27, P27*R27)</f>
        <v>33390</v>
      </c>
      <c r="U27" s="421">
        <f t="shared" si="2"/>
        <v>33000</v>
      </c>
      <c r="V27" s="422"/>
      <c r="W27" s="422"/>
      <c r="X27" s="423"/>
      <c r="Y27" s="421">
        <f t="shared" si="0"/>
        <v>33000</v>
      </c>
      <c r="Z27" s="421">
        <f t="shared" si="1"/>
        <v>33000</v>
      </c>
      <c r="AA27" s="422"/>
      <c r="AB27" s="422" t="s">
        <v>130</v>
      </c>
      <c r="AC27" s="419"/>
    </row>
    <row r="28" spans="2:29" ht="13.5">
      <c r="B28" s="420">
        <v>24</v>
      </c>
      <c r="C28" s="420" t="s">
        <v>199</v>
      </c>
      <c r="D28" s="420" t="s">
        <v>112</v>
      </c>
      <c r="E28" s="432"/>
      <c r="F28" s="432"/>
      <c r="G28" s="434">
        <v>1234567913</v>
      </c>
      <c r="H28" s="431" t="s">
        <v>612</v>
      </c>
      <c r="I28" s="431" t="s">
        <v>565</v>
      </c>
      <c r="J28" s="433" t="s">
        <v>309</v>
      </c>
      <c r="K28" s="431" t="s">
        <v>612</v>
      </c>
      <c r="L28" s="420"/>
      <c r="M28" s="420"/>
      <c r="N28" s="420"/>
      <c r="O28" s="420"/>
      <c r="P28" s="436">
        <v>0.5</v>
      </c>
      <c r="Q28" s="420"/>
      <c r="R28" s="421">
        <v>14420</v>
      </c>
      <c r="S28" s="421">
        <v>14000</v>
      </c>
      <c r="T28" s="421">
        <f>IF(COUNTA(O28,Q28), R28, P28*R28)</f>
        <v>7210</v>
      </c>
      <c r="U28" s="421">
        <f t="shared" si="2"/>
        <v>7000</v>
      </c>
      <c r="V28" s="422"/>
      <c r="W28" s="422"/>
      <c r="X28" s="423"/>
      <c r="Y28" s="421">
        <f t="shared" si="0"/>
        <v>14000</v>
      </c>
      <c r="Z28" s="421">
        <f t="shared" si="1"/>
        <v>7000</v>
      </c>
      <c r="AA28" s="422"/>
      <c r="AB28" s="422" t="s">
        <v>131</v>
      </c>
      <c r="AC28" s="419"/>
    </row>
    <row r="29" spans="2:29" ht="13.5">
      <c r="B29" s="420">
        <v>25</v>
      </c>
      <c r="C29" s="420" t="s">
        <v>199</v>
      </c>
      <c r="D29" s="420" t="s">
        <v>112</v>
      </c>
      <c r="E29" s="432"/>
      <c r="F29" s="432"/>
      <c r="G29" s="434">
        <v>1234567914</v>
      </c>
      <c r="H29" s="431" t="s">
        <v>613</v>
      </c>
      <c r="I29" s="431" t="s">
        <v>566</v>
      </c>
      <c r="J29" s="433" t="s">
        <v>309</v>
      </c>
      <c r="K29" s="431" t="s">
        <v>613</v>
      </c>
      <c r="L29" s="420"/>
      <c r="M29" s="420"/>
      <c r="N29" s="420" t="s">
        <v>98</v>
      </c>
      <c r="O29" s="420"/>
      <c r="P29" s="436">
        <v>0.5</v>
      </c>
      <c r="Q29" s="420"/>
      <c r="R29" s="421">
        <v>44590</v>
      </c>
      <c r="S29" s="421">
        <v>43000</v>
      </c>
      <c r="T29" s="421">
        <f>IF(COUNTA(O29,Q29), R29, P29*R29)</f>
        <v>22295</v>
      </c>
      <c r="U29" s="421">
        <f t="shared" si="2"/>
        <v>21500</v>
      </c>
      <c r="V29" s="422"/>
      <c r="W29" s="422"/>
      <c r="X29" s="423"/>
      <c r="Y29" s="421">
        <f t="shared" si="0"/>
        <v>43000</v>
      </c>
      <c r="Z29" s="421">
        <f t="shared" si="1"/>
        <v>21500</v>
      </c>
      <c r="AA29" s="422"/>
      <c r="AB29" s="422" t="s">
        <v>132</v>
      </c>
      <c r="AC29" s="419"/>
    </row>
    <row r="30" spans="2:29" ht="13.5">
      <c r="B30" s="420">
        <v>26</v>
      </c>
      <c r="C30" s="420" t="s">
        <v>199</v>
      </c>
      <c r="D30" s="420" t="s">
        <v>112</v>
      </c>
      <c r="E30" s="432"/>
      <c r="F30" s="432"/>
      <c r="G30" s="434">
        <v>1234567915</v>
      </c>
      <c r="H30" s="431" t="s">
        <v>614</v>
      </c>
      <c r="I30" s="431" t="s">
        <v>567</v>
      </c>
      <c r="J30" s="433" t="s">
        <v>309</v>
      </c>
      <c r="K30" s="431" t="s">
        <v>614</v>
      </c>
      <c r="L30" s="420"/>
      <c r="M30" s="420"/>
      <c r="N30" s="420"/>
      <c r="O30" s="420"/>
      <c r="P30" s="436">
        <v>0.5</v>
      </c>
      <c r="Q30" s="420"/>
      <c r="R30" s="421">
        <v>11000</v>
      </c>
      <c r="S30" s="421">
        <v>11000</v>
      </c>
      <c r="T30" s="421">
        <f>IF(COUNTA(O30,Q30), R30, P30*R30)</f>
        <v>5500</v>
      </c>
      <c r="U30" s="421">
        <f t="shared" si="2"/>
        <v>5500</v>
      </c>
      <c r="V30" s="422"/>
      <c r="W30" s="422"/>
      <c r="X30" s="423"/>
      <c r="Y30" s="421">
        <f t="shared" si="0"/>
        <v>11000</v>
      </c>
      <c r="Z30" s="421">
        <f t="shared" si="1"/>
        <v>5500</v>
      </c>
      <c r="AA30" s="422"/>
      <c r="AB30" s="422" t="s">
        <v>132</v>
      </c>
      <c r="AC30" s="419"/>
    </row>
    <row r="31" spans="2:29" ht="13.5">
      <c r="B31" s="420">
        <v>27</v>
      </c>
      <c r="C31" s="420" t="s">
        <v>199</v>
      </c>
      <c r="D31" s="420" t="s">
        <v>112</v>
      </c>
      <c r="E31" s="432"/>
      <c r="F31" s="432"/>
      <c r="G31" s="434">
        <v>1234567916</v>
      </c>
      <c r="H31" s="431" t="s">
        <v>615</v>
      </c>
      <c r="I31" s="431" t="s">
        <v>568</v>
      </c>
      <c r="J31" s="433" t="s">
        <v>309</v>
      </c>
      <c r="K31" s="431" t="s">
        <v>615</v>
      </c>
      <c r="L31" s="420"/>
      <c r="M31" s="420" t="s">
        <v>98</v>
      </c>
      <c r="N31" s="420"/>
      <c r="O31" s="420"/>
      <c r="P31" s="436">
        <v>0.5</v>
      </c>
      <c r="Q31" s="420"/>
      <c r="R31" s="421">
        <v>69160</v>
      </c>
      <c r="S31" s="421">
        <v>69000</v>
      </c>
      <c r="T31" s="421">
        <f>IF(COUNTA(O31,Q31), R31, P31*R31)</f>
        <v>34580</v>
      </c>
      <c r="U31" s="421">
        <f t="shared" si="2"/>
        <v>34500</v>
      </c>
      <c r="V31" s="422"/>
      <c r="W31" s="422"/>
      <c r="X31" s="423"/>
      <c r="Y31" s="421">
        <f t="shared" si="0"/>
        <v>69000</v>
      </c>
      <c r="Z31" s="421">
        <f t="shared" si="1"/>
        <v>34500</v>
      </c>
      <c r="AA31" s="422"/>
      <c r="AB31" s="422" t="s">
        <v>133</v>
      </c>
      <c r="AC31" s="419"/>
    </row>
    <row r="32" spans="2:29" ht="13.5">
      <c r="B32" s="420">
        <v>28</v>
      </c>
      <c r="C32" s="420" t="s">
        <v>199</v>
      </c>
      <c r="D32" s="420" t="s">
        <v>112</v>
      </c>
      <c r="E32" s="432"/>
      <c r="F32" s="432"/>
      <c r="G32" s="434">
        <v>1234567917</v>
      </c>
      <c r="H32" s="431" t="s">
        <v>616</v>
      </c>
      <c r="I32" s="431" t="s">
        <v>569</v>
      </c>
      <c r="J32" s="433" t="s">
        <v>309</v>
      </c>
      <c r="K32" s="431" t="s">
        <v>616</v>
      </c>
      <c r="L32" s="420"/>
      <c r="M32" s="420"/>
      <c r="N32" s="420"/>
      <c r="O32" s="420"/>
      <c r="P32" s="436">
        <v>0.5</v>
      </c>
      <c r="Q32" s="420"/>
      <c r="R32" s="421">
        <v>17850</v>
      </c>
      <c r="S32" s="421">
        <v>17000</v>
      </c>
      <c r="T32" s="421">
        <f>IF(COUNTA(O32,Q32), R32, P32*R32)</f>
        <v>8925</v>
      </c>
      <c r="U32" s="421">
        <f t="shared" si="2"/>
        <v>8500</v>
      </c>
      <c r="V32" s="422"/>
      <c r="W32" s="422"/>
      <c r="X32" s="423"/>
      <c r="Y32" s="421">
        <f t="shared" si="0"/>
        <v>17000</v>
      </c>
      <c r="Z32" s="421">
        <f t="shared" si="1"/>
        <v>8500</v>
      </c>
      <c r="AA32" s="422"/>
      <c r="AB32" s="422" t="s">
        <v>134</v>
      </c>
      <c r="AC32" s="419"/>
    </row>
    <row r="33" spans="2:29" ht="13.5">
      <c r="B33" s="420">
        <v>29</v>
      </c>
      <c r="C33" s="420" t="s">
        <v>199</v>
      </c>
      <c r="D33" s="420" t="s">
        <v>112</v>
      </c>
      <c r="E33" s="432"/>
      <c r="F33" s="432"/>
      <c r="G33" s="435">
        <v>1234567918</v>
      </c>
      <c r="H33" s="431" t="s">
        <v>584</v>
      </c>
      <c r="I33" s="431" t="s">
        <v>570</v>
      </c>
      <c r="J33" s="433" t="s">
        <v>309</v>
      </c>
      <c r="K33" s="431" t="s">
        <v>584</v>
      </c>
      <c r="L33" s="420"/>
      <c r="M33" s="420"/>
      <c r="N33" s="420"/>
      <c r="O33" s="420" t="s">
        <v>98</v>
      </c>
      <c r="P33" s="433" t="s">
        <v>309</v>
      </c>
      <c r="Q33" s="420"/>
      <c r="R33" s="421">
        <v>10550</v>
      </c>
      <c r="S33" s="421">
        <v>22000</v>
      </c>
      <c r="T33" s="421">
        <f>IF(COUNTA(O33,Q33), R33, P33*R33)</f>
        <v>10550</v>
      </c>
      <c r="U33" s="421">
        <f t="shared" si="2"/>
        <v>22000</v>
      </c>
      <c r="V33" s="422"/>
      <c r="W33" s="422"/>
      <c r="X33" s="423"/>
      <c r="Y33" s="421">
        <f t="shared" si="0"/>
        <v>22000</v>
      </c>
      <c r="Z33" s="421">
        <f t="shared" si="1"/>
        <v>22000</v>
      </c>
      <c r="AA33" s="422"/>
      <c r="AB33" s="422" t="s">
        <v>135</v>
      </c>
      <c r="AC33" s="419"/>
    </row>
    <row r="34" spans="2:29" ht="13.5">
      <c r="B34" s="420">
        <v>30</v>
      </c>
      <c r="C34" s="420" t="s">
        <v>199</v>
      </c>
      <c r="D34" s="420" t="s">
        <v>112</v>
      </c>
      <c r="E34" s="432"/>
      <c r="F34" s="432"/>
      <c r="G34" s="434">
        <v>1234567919</v>
      </c>
      <c r="H34" s="431" t="s">
        <v>617</v>
      </c>
      <c r="I34" s="431" t="s">
        <v>571</v>
      </c>
      <c r="J34" s="433" t="s">
        <v>309</v>
      </c>
      <c r="K34" s="431" t="s">
        <v>617</v>
      </c>
      <c r="L34" s="420"/>
      <c r="M34" s="420"/>
      <c r="N34" s="420" t="s">
        <v>98</v>
      </c>
      <c r="O34" s="420"/>
      <c r="P34" s="436">
        <v>0.5</v>
      </c>
      <c r="Q34" s="420"/>
      <c r="R34" s="421">
        <v>22820</v>
      </c>
      <c r="S34" s="421">
        <v>22000</v>
      </c>
      <c r="T34" s="421">
        <f>IF(COUNTA(O34,Q34), R34, P34*R34)</f>
        <v>11410</v>
      </c>
      <c r="U34" s="421">
        <f t="shared" si="2"/>
        <v>11000</v>
      </c>
      <c r="V34" s="422"/>
      <c r="W34" s="422"/>
      <c r="X34" s="423"/>
      <c r="Y34" s="421">
        <f t="shared" si="0"/>
        <v>22000</v>
      </c>
      <c r="Z34" s="421">
        <f t="shared" si="1"/>
        <v>11000</v>
      </c>
      <c r="AA34" s="422"/>
      <c r="AB34" s="422" t="s">
        <v>138</v>
      </c>
      <c r="AC34" s="419"/>
    </row>
    <row r="35" spans="2:29" ht="13.5">
      <c r="B35" s="420">
        <v>31</v>
      </c>
      <c r="C35" s="420" t="s">
        <v>199</v>
      </c>
      <c r="D35" s="420" t="s">
        <v>112</v>
      </c>
      <c r="E35" s="432"/>
      <c r="F35" s="432"/>
      <c r="G35" s="434">
        <v>1234567920</v>
      </c>
      <c r="H35" s="431" t="s">
        <v>618</v>
      </c>
      <c r="I35" s="431" t="s">
        <v>572</v>
      </c>
      <c r="J35" s="433" t="s">
        <v>309</v>
      </c>
      <c r="K35" s="431" t="s">
        <v>618</v>
      </c>
      <c r="L35" s="420"/>
      <c r="M35" s="420"/>
      <c r="N35" s="420"/>
      <c r="O35" s="420" t="s">
        <v>98</v>
      </c>
      <c r="P35" s="433" t="s">
        <v>309</v>
      </c>
      <c r="Q35" s="420"/>
      <c r="R35" s="421">
        <v>8750</v>
      </c>
      <c r="S35" s="421">
        <v>8000</v>
      </c>
      <c r="T35" s="421">
        <f>IF(COUNTA(O35,Q35), R35, P35*R35)</f>
        <v>8750</v>
      </c>
      <c r="U35" s="421">
        <f t="shared" si="2"/>
        <v>8000</v>
      </c>
      <c r="V35" s="422"/>
      <c r="W35" s="422"/>
      <c r="X35" s="423"/>
      <c r="Y35" s="421">
        <f t="shared" si="0"/>
        <v>8000</v>
      </c>
      <c r="Z35" s="421">
        <f t="shared" si="1"/>
        <v>8000</v>
      </c>
      <c r="AA35" s="422"/>
      <c r="AB35" s="422" t="s">
        <v>138</v>
      </c>
      <c r="AC35" s="419"/>
    </row>
    <row r="36" spans="2:29" ht="13.5">
      <c r="B36" s="420">
        <v>32</v>
      </c>
      <c r="C36" s="420" t="s">
        <v>199</v>
      </c>
      <c r="D36" s="420" t="s">
        <v>112</v>
      </c>
      <c r="E36" s="432"/>
      <c r="F36" s="432"/>
      <c r="G36" s="434">
        <v>1234567921</v>
      </c>
      <c r="H36" s="431" t="s">
        <v>619</v>
      </c>
      <c r="I36" s="431" t="s">
        <v>573</v>
      </c>
      <c r="J36" s="433" t="s">
        <v>309</v>
      </c>
      <c r="K36" s="431" t="s">
        <v>619</v>
      </c>
      <c r="L36" s="420" t="s">
        <v>98</v>
      </c>
      <c r="M36" s="420"/>
      <c r="N36" s="420"/>
      <c r="O36" s="420"/>
      <c r="P36" s="436">
        <v>0.5</v>
      </c>
      <c r="Q36" s="420"/>
      <c r="R36" s="421">
        <v>9340</v>
      </c>
      <c r="S36" s="421">
        <v>9000</v>
      </c>
      <c r="T36" s="421">
        <f>IF(COUNTA(O36,Q36), R36, P36*R36)</f>
        <v>4670</v>
      </c>
      <c r="U36" s="421">
        <f t="shared" si="2"/>
        <v>4500</v>
      </c>
      <c r="V36" s="420"/>
      <c r="W36" s="422"/>
      <c r="X36" s="423"/>
      <c r="Y36" s="421">
        <f t="shared" si="0"/>
        <v>9000</v>
      </c>
      <c r="Z36" s="421">
        <f t="shared" si="1"/>
        <v>4500</v>
      </c>
      <c r="AA36" s="422"/>
      <c r="AB36" s="422" t="s">
        <v>139</v>
      </c>
      <c r="AC36" s="419"/>
    </row>
    <row r="37" spans="2:29" ht="13.5">
      <c r="B37" s="420">
        <v>33</v>
      </c>
      <c r="C37" s="420" t="s">
        <v>199</v>
      </c>
      <c r="D37" s="420" t="s">
        <v>112</v>
      </c>
      <c r="E37" s="432"/>
      <c r="F37" s="432"/>
      <c r="G37" s="434">
        <v>1234567922</v>
      </c>
      <c r="H37" s="431" t="s">
        <v>620</v>
      </c>
      <c r="I37" s="431" t="s">
        <v>574</v>
      </c>
      <c r="J37" s="433" t="s">
        <v>309</v>
      </c>
      <c r="K37" s="431" t="s">
        <v>620</v>
      </c>
      <c r="L37" s="420"/>
      <c r="M37" s="420" t="s">
        <v>98</v>
      </c>
      <c r="N37" s="420"/>
      <c r="O37" s="420"/>
      <c r="P37" s="436">
        <v>0.5</v>
      </c>
      <c r="Q37" s="420"/>
      <c r="R37" s="421">
        <v>10540</v>
      </c>
      <c r="S37" s="421">
        <v>10000</v>
      </c>
      <c r="T37" s="421">
        <f>IF(COUNTA(O37,Q37), R37, P37*R37)</f>
        <v>5270</v>
      </c>
      <c r="U37" s="421">
        <f t="shared" si="2"/>
        <v>5000</v>
      </c>
      <c r="V37" s="422"/>
      <c r="W37" s="422"/>
      <c r="X37" s="423"/>
      <c r="Y37" s="421">
        <f t="shared" si="0"/>
        <v>10000</v>
      </c>
      <c r="Z37" s="421">
        <f t="shared" si="1"/>
        <v>5000</v>
      </c>
      <c r="AA37" s="422"/>
      <c r="AB37" s="422" t="s">
        <v>140</v>
      </c>
      <c r="AC37" s="419"/>
    </row>
    <row r="38" spans="2:29" ht="13.5">
      <c r="B38" s="420">
        <v>34</v>
      </c>
      <c r="C38" s="420" t="s">
        <v>199</v>
      </c>
      <c r="D38" s="420" t="s">
        <v>112</v>
      </c>
      <c r="E38" s="432"/>
      <c r="F38" s="432"/>
      <c r="G38" s="434">
        <v>1234567923</v>
      </c>
      <c r="H38" s="431" t="s">
        <v>621</v>
      </c>
      <c r="I38" s="431" t="s">
        <v>575</v>
      </c>
      <c r="J38" s="433" t="s">
        <v>309</v>
      </c>
      <c r="K38" s="431" t="s">
        <v>621</v>
      </c>
      <c r="L38" s="420"/>
      <c r="M38" s="420"/>
      <c r="N38" s="420"/>
      <c r="O38" s="420"/>
      <c r="P38" s="436">
        <v>0.5</v>
      </c>
      <c r="Q38" s="420"/>
      <c r="R38" s="421">
        <v>4530</v>
      </c>
      <c r="S38" s="421">
        <v>4000</v>
      </c>
      <c r="T38" s="421">
        <f>IF(COUNTA(O38,Q38), R38, P38*R38)</f>
        <v>2265</v>
      </c>
      <c r="U38" s="421">
        <f t="shared" si="2"/>
        <v>2000</v>
      </c>
      <c r="V38" s="422"/>
      <c r="W38" s="422"/>
      <c r="X38" s="423"/>
      <c r="Y38" s="421">
        <f t="shared" si="0"/>
        <v>4000</v>
      </c>
      <c r="Z38" s="421">
        <f t="shared" si="1"/>
        <v>2000</v>
      </c>
      <c r="AA38" s="422"/>
      <c r="AB38" s="422" t="s">
        <v>140</v>
      </c>
      <c r="AC38" s="419"/>
    </row>
    <row r="39" spans="2:29">
      <c r="B39" s="424"/>
      <c r="C39" s="424"/>
      <c r="D39" s="424"/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  <c r="P39" s="424"/>
      <c r="Q39" s="424"/>
      <c r="R39" s="425"/>
      <c r="S39" s="425"/>
      <c r="T39" s="425"/>
      <c r="U39" s="425"/>
      <c r="V39" s="424"/>
      <c r="W39" s="426"/>
      <c r="X39" s="425"/>
      <c r="Y39" s="425"/>
      <c r="Z39" s="425"/>
      <c r="AA39" s="426"/>
      <c r="AB39" s="426"/>
    </row>
  </sheetData>
  <autoFilter ref="A4:AC38" xr:uid="{243232B2-E0EF-41F9-8BF0-2C4BD6DCA49F}"/>
  <mergeCells count="18">
    <mergeCell ref="R3:R4"/>
    <mergeCell ref="T3:T4"/>
    <mergeCell ref="V3:Z3"/>
    <mergeCell ref="AA3:AA4"/>
    <mergeCell ref="AB3:AB4"/>
    <mergeCell ref="G3:G4"/>
    <mergeCell ref="S3:S4"/>
    <mergeCell ref="U3:U4"/>
    <mergeCell ref="H3:H4"/>
    <mergeCell ref="I3:I4"/>
    <mergeCell ref="J3:J4"/>
    <mergeCell ref="K3:K4"/>
    <mergeCell ref="L3:Q3"/>
    <mergeCell ref="B3:B4"/>
    <mergeCell ref="C3:C4"/>
    <mergeCell ref="D3:D4"/>
    <mergeCell ref="E3:E4"/>
    <mergeCell ref="F3:F4"/>
  </mergeCells>
  <phoneticPr fontId="3" type="noConversion"/>
  <conditionalFormatting sqref="C5:C77 K40:K77 Y5:AA25 I5:I77 M16:O16 Q16:S16 M26:O26 Q26:S26 M5:S15 M17:S25 Y27:AA38 AA26 T5:T77 V39:AA77 V5:W25 V27:W38 M27:S32 M36:S77 M35:O35 Q35:S35 M34:S34 M33:O33 Q33:S33">
    <cfRule type="expression" dxfId="30" priority="35">
      <formula>#REF!="입점"</formula>
    </cfRule>
  </conditionalFormatting>
  <conditionalFormatting sqref="K39">
    <cfRule type="expression" dxfId="29" priority="28">
      <formula>#REF!="입점"</formula>
    </cfRule>
  </conditionalFormatting>
  <conditionalFormatting sqref="X5:X25 X27:X38">
    <cfRule type="expression" dxfId="28" priority="27">
      <formula>#REF!="입점"</formula>
    </cfRule>
  </conditionalFormatting>
  <conditionalFormatting sqref="L5:L35 L37:L77">
    <cfRule type="expression" dxfId="27" priority="25">
      <formula>#REF!="입점"</formula>
    </cfRule>
  </conditionalFormatting>
  <conditionalFormatting sqref="H5:H77">
    <cfRule type="expression" dxfId="26" priority="24">
      <formula>#REF!="입점"</formula>
    </cfRule>
  </conditionalFormatting>
  <conditionalFormatting sqref="J5:J7 J10:J11 J13 J16:J17 J19 J21:J25 J28:J77">
    <cfRule type="expression" dxfId="25" priority="23">
      <formula>#REF!="입점"</formula>
    </cfRule>
  </conditionalFormatting>
  <conditionalFormatting sqref="L36">
    <cfRule type="expression" dxfId="24" priority="22">
      <formula>#REF!="입점"</formula>
    </cfRule>
  </conditionalFormatting>
  <conditionalFormatting sqref="E8:E27">
    <cfRule type="expression" dxfId="23" priority="21">
      <formula>#REF!="입점"</formula>
    </cfRule>
  </conditionalFormatting>
  <conditionalFormatting sqref="J8:J9">
    <cfRule type="expression" dxfId="22" priority="20">
      <formula>#REF!="입점"</formula>
    </cfRule>
  </conditionalFormatting>
  <conditionalFormatting sqref="J12">
    <cfRule type="expression" dxfId="21" priority="19">
      <formula>#REF!="입점"</formula>
    </cfRule>
  </conditionalFormatting>
  <conditionalFormatting sqref="J14:J15">
    <cfRule type="expression" dxfId="20" priority="18">
      <formula>#REF!="입점"</formula>
    </cfRule>
  </conditionalFormatting>
  <conditionalFormatting sqref="J18">
    <cfRule type="expression" dxfId="19" priority="17">
      <formula>#REF!="입점"</formula>
    </cfRule>
  </conditionalFormatting>
  <conditionalFormatting sqref="J20">
    <cfRule type="expression" dxfId="18" priority="16">
      <formula>#REF!="입점"</formula>
    </cfRule>
  </conditionalFormatting>
  <conditionalFormatting sqref="J26:J27">
    <cfRule type="expression" dxfId="17" priority="15">
      <formula>#REF!="입점"</formula>
    </cfRule>
  </conditionalFormatting>
  <conditionalFormatting sqref="Y26:Z26 V26:W26">
    <cfRule type="expression" dxfId="16" priority="8">
      <formula>#REF!="입점"</formula>
    </cfRule>
  </conditionalFormatting>
  <conditionalFormatting sqref="X26">
    <cfRule type="expression" dxfId="15" priority="7">
      <formula>#REF!="입점"</formula>
    </cfRule>
  </conditionalFormatting>
  <conditionalFormatting sqref="G5:G38">
    <cfRule type="expression" dxfId="14" priority="12">
      <formula>$D5="입점"</formula>
    </cfRule>
  </conditionalFormatting>
  <conditionalFormatting sqref="K5:K38">
    <cfRule type="expression" dxfId="13" priority="11">
      <formula>#REF!="입점"</formula>
    </cfRule>
  </conditionalFormatting>
  <conditionalFormatting sqref="P16">
    <cfRule type="expression" dxfId="12" priority="10">
      <formula>#REF!="입점"</formula>
    </cfRule>
  </conditionalFormatting>
  <conditionalFormatting sqref="P26">
    <cfRule type="expression" dxfId="11" priority="9">
      <formula>#REF!="입점"</formula>
    </cfRule>
  </conditionalFormatting>
  <conditionalFormatting sqref="U39:U77">
    <cfRule type="expression" dxfId="10" priority="4">
      <formula>#REF!="입점"</formula>
    </cfRule>
  </conditionalFormatting>
  <conditionalFormatting sqref="U5:U38">
    <cfRule type="expression" dxfId="9" priority="3">
      <formula>#REF!="입점"</formula>
    </cfRule>
  </conditionalFormatting>
  <conditionalFormatting sqref="P35">
    <cfRule type="expression" dxfId="8" priority="2">
      <formula>#REF!="입점"</formula>
    </cfRule>
  </conditionalFormatting>
  <conditionalFormatting sqref="P33">
    <cfRule type="expression" dxfId="7" priority="1">
      <formula>#REF!="입점"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landscape" verticalDpi="4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828B-19D9-403F-976A-479DAC062F9D}">
  <sheetPr>
    <pageSetUpPr fitToPage="1"/>
  </sheetPr>
  <dimension ref="A1:O16"/>
  <sheetViews>
    <sheetView zoomScaleNormal="100" workbookViewId="0">
      <selection activeCell="M21" sqref="M21"/>
    </sheetView>
  </sheetViews>
  <sheetFormatPr defaultColWidth="8.88671875" defaultRowHeight="13.5"/>
  <cols>
    <col min="1" max="1" width="2.77734375" style="30" customWidth="1"/>
    <col min="2" max="2" width="5.77734375" style="31" customWidth="1"/>
    <col min="3" max="3" width="12.77734375" style="31" customWidth="1"/>
    <col min="4" max="4" width="10.77734375" style="83" customWidth="1"/>
    <col min="5" max="5" width="35.109375" style="31" bestFit="1" customWidth="1"/>
    <col min="6" max="6" width="21.33203125" style="31" customWidth="1"/>
    <col min="7" max="10" width="5.77734375" style="31" customWidth="1"/>
    <col min="11" max="11" width="22.77734375" style="31" bestFit="1" customWidth="1"/>
    <col min="12" max="12" width="15.77734375" style="31" customWidth="1"/>
    <col min="13" max="13" width="15.77734375" style="83" customWidth="1"/>
    <col min="14" max="14" width="20.77734375" style="30" customWidth="1"/>
    <col min="15" max="15" width="8.88671875" style="83"/>
    <col min="16" max="16384" width="8.88671875" style="30"/>
  </cols>
  <sheetData>
    <row r="1" spans="1:15" ht="53.25" customHeight="1">
      <c r="A1" s="82"/>
      <c r="B1" s="102"/>
      <c r="C1" s="102"/>
      <c r="D1" s="102"/>
      <c r="E1" s="83"/>
      <c r="F1" s="83"/>
      <c r="G1" s="83"/>
      <c r="H1" s="83"/>
      <c r="I1" s="83"/>
      <c r="J1" s="83"/>
      <c r="K1" s="83"/>
      <c r="L1" s="83"/>
      <c r="N1" s="82"/>
    </row>
    <row r="2" spans="1:15" ht="9.9499999999999993" customHeight="1">
      <c r="A2" s="82"/>
      <c r="B2" s="102"/>
      <c r="C2" s="102"/>
      <c r="D2" s="102"/>
      <c r="E2" s="83"/>
      <c r="F2" s="83"/>
      <c r="G2" s="83"/>
      <c r="H2" s="83"/>
      <c r="I2" s="83"/>
      <c r="J2" s="83"/>
      <c r="K2" s="83"/>
      <c r="L2" s="83"/>
      <c r="N2" s="82"/>
    </row>
    <row r="3" spans="1:15" ht="15" customHeight="1">
      <c r="A3" s="33"/>
      <c r="B3" s="408" t="s">
        <v>62</v>
      </c>
      <c r="C3" s="409" t="s">
        <v>75</v>
      </c>
      <c r="D3" s="408" t="s">
        <v>76</v>
      </c>
      <c r="E3" s="408" t="s">
        <v>78</v>
      </c>
      <c r="F3" s="408" t="s">
        <v>79</v>
      </c>
      <c r="G3" s="408" t="s">
        <v>81</v>
      </c>
      <c r="H3" s="408"/>
      <c r="I3" s="408"/>
      <c r="J3" s="408"/>
      <c r="K3" s="408" t="s">
        <v>80</v>
      </c>
      <c r="L3" s="408" t="s">
        <v>85</v>
      </c>
      <c r="M3" s="408" t="s">
        <v>673</v>
      </c>
      <c r="N3" s="408" t="s">
        <v>20</v>
      </c>
      <c r="O3" s="408" t="s">
        <v>117</v>
      </c>
    </row>
    <row r="4" spans="1:15" ht="15" customHeight="1">
      <c r="A4" s="33"/>
      <c r="B4" s="408"/>
      <c r="C4" s="410"/>
      <c r="D4" s="408"/>
      <c r="E4" s="408"/>
      <c r="F4" s="408"/>
      <c r="G4" s="56" t="s">
        <v>96</v>
      </c>
      <c r="H4" s="56" t="s">
        <v>83</v>
      </c>
      <c r="I4" s="56" t="s">
        <v>84</v>
      </c>
      <c r="J4" s="56" t="s">
        <v>82</v>
      </c>
      <c r="K4" s="408"/>
      <c r="L4" s="408"/>
      <c r="M4" s="408"/>
      <c r="N4" s="408"/>
      <c r="O4" s="408"/>
    </row>
    <row r="5" spans="1:15" ht="14.25" customHeight="1">
      <c r="A5" s="33"/>
      <c r="B5" s="49">
        <v>1</v>
      </c>
      <c r="C5" s="121" t="s">
        <v>207</v>
      </c>
      <c r="D5" s="49">
        <v>1234567890</v>
      </c>
      <c r="E5" s="50" t="s">
        <v>289</v>
      </c>
      <c r="F5" s="49" t="s">
        <v>366</v>
      </c>
      <c r="G5" s="49" t="s">
        <v>98</v>
      </c>
      <c r="H5" s="49" t="s">
        <v>98</v>
      </c>
      <c r="I5" s="49" t="s">
        <v>98</v>
      </c>
      <c r="J5" s="49"/>
      <c r="K5" s="50" t="s">
        <v>94</v>
      </c>
      <c r="L5" s="49">
        <v>1234567894</v>
      </c>
      <c r="M5" s="49" t="s">
        <v>674</v>
      </c>
      <c r="N5" s="52"/>
      <c r="O5" s="272" t="s">
        <v>120</v>
      </c>
    </row>
    <row r="6" spans="1:15" ht="14.25" customHeight="1">
      <c r="A6" s="33"/>
      <c r="B6" s="49">
        <v>2</v>
      </c>
      <c r="C6" s="121" t="s">
        <v>207</v>
      </c>
      <c r="D6" s="49">
        <v>1234567891</v>
      </c>
      <c r="E6" s="50" t="s">
        <v>296</v>
      </c>
      <c r="F6" s="49" t="s">
        <v>366</v>
      </c>
      <c r="G6" s="49"/>
      <c r="H6" s="49" t="s">
        <v>98</v>
      </c>
      <c r="I6" s="49" t="s">
        <v>98</v>
      </c>
      <c r="J6" s="49"/>
      <c r="K6" s="50" t="s">
        <v>367</v>
      </c>
      <c r="L6" s="49">
        <v>1234567917</v>
      </c>
      <c r="M6" s="49" t="s">
        <v>309</v>
      </c>
      <c r="N6" s="52"/>
      <c r="O6" s="272" t="s">
        <v>134</v>
      </c>
    </row>
    <row r="7" spans="1:15" ht="14.25" customHeight="1">
      <c r="A7" s="33"/>
      <c r="B7" s="49">
        <v>3</v>
      </c>
      <c r="C7" s="121" t="s">
        <v>207</v>
      </c>
      <c r="D7" s="49">
        <v>1234567892</v>
      </c>
      <c r="E7" s="50" t="s">
        <v>294</v>
      </c>
      <c r="F7" s="49" t="s">
        <v>366</v>
      </c>
      <c r="G7" s="49"/>
      <c r="H7" s="49"/>
      <c r="I7" s="49" t="s">
        <v>98</v>
      </c>
      <c r="J7" s="49"/>
      <c r="K7" s="50" t="s">
        <v>95</v>
      </c>
      <c r="L7" s="49">
        <v>1234567910</v>
      </c>
      <c r="M7" s="49" t="s">
        <v>309</v>
      </c>
      <c r="N7" s="52"/>
      <c r="O7" s="272" t="s">
        <v>129</v>
      </c>
    </row>
    <row r="8" spans="1:15" ht="14.25" customHeight="1">
      <c r="A8" s="33"/>
      <c r="B8" s="49">
        <v>4</v>
      </c>
      <c r="C8" s="121" t="s">
        <v>207</v>
      </c>
      <c r="D8" s="49">
        <v>1234567893</v>
      </c>
      <c r="E8" s="50" t="s">
        <v>659</v>
      </c>
      <c r="F8" s="49" t="s">
        <v>366</v>
      </c>
      <c r="G8" s="49"/>
      <c r="H8" s="49"/>
      <c r="I8" s="49"/>
      <c r="J8" s="49" t="s">
        <v>98</v>
      </c>
      <c r="K8" s="50" t="s">
        <v>660</v>
      </c>
      <c r="L8" s="49">
        <v>1234567918</v>
      </c>
      <c r="M8" s="49" t="s">
        <v>309</v>
      </c>
      <c r="N8" s="52"/>
      <c r="O8" s="272" t="s">
        <v>135</v>
      </c>
    </row>
    <row r="9" spans="1:15">
      <c r="A9" s="33"/>
      <c r="B9" s="49">
        <v>5</v>
      </c>
      <c r="C9" s="121" t="s">
        <v>368</v>
      </c>
      <c r="D9" s="49">
        <v>1234567894</v>
      </c>
      <c r="E9" s="50" t="s">
        <v>288</v>
      </c>
      <c r="F9" s="49" t="s">
        <v>366</v>
      </c>
      <c r="G9" s="49" t="s">
        <v>98</v>
      </c>
      <c r="H9" s="49" t="s">
        <v>98</v>
      </c>
      <c r="I9" s="49" t="s">
        <v>98</v>
      </c>
      <c r="J9" s="49"/>
      <c r="K9" s="50" t="s">
        <v>95</v>
      </c>
      <c r="L9" s="49">
        <v>1234567890</v>
      </c>
      <c r="M9" s="49" t="s">
        <v>309</v>
      </c>
      <c r="N9" s="52" t="s">
        <v>369</v>
      </c>
      <c r="O9" s="272" t="s">
        <v>118</v>
      </c>
    </row>
    <row r="10" spans="1:15" s="82" customFormat="1">
      <c r="A10" s="86"/>
      <c r="B10" s="49">
        <v>6</v>
      </c>
      <c r="C10" s="121" t="s">
        <v>368</v>
      </c>
      <c r="D10" s="49">
        <v>1234567895</v>
      </c>
      <c r="E10" s="50" t="s">
        <v>295</v>
      </c>
      <c r="F10" s="49" t="s">
        <v>366</v>
      </c>
      <c r="G10" s="49" t="s">
        <v>98</v>
      </c>
      <c r="H10" s="49" t="s">
        <v>98</v>
      </c>
      <c r="I10" s="49" t="s">
        <v>98</v>
      </c>
      <c r="J10" s="49"/>
      <c r="K10" s="50" t="s">
        <v>340</v>
      </c>
      <c r="L10" s="49">
        <v>1234567913</v>
      </c>
      <c r="M10" s="49" t="s">
        <v>309</v>
      </c>
      <c r="N10" s="52" t="s">
        <v>369</v>
      </c>
      <c r="O10" s="272" t="s">
        <v>131</v>
      </c>
    </row>
    <row r="11" spans="1:15">
      <c r="A11" s="33"/>
      <c r="B11" s="49">
        <v>7</v>
      </c>
      <c r="C11" s="121" t="s">
        <v>368</v>
      </c>
      <c r="D11" s="49">
        <v>1234567896</v>
      </c>
      <c r="E11" s="50" t="s">
        <v>293</v>
      </c>
      <c r="F11" s="49" t="s">
        <v>366</v>
      </c>
      <c r="G11" s="49"/>
      <c r="H11" s="49"/>
      <c r="I11" s="49" t="s">
        <v>98</v>
      </c>
      <c r="J11" s="49"/>
      <c r="K11" s="50" t="s">
        <v>95</v>
      </c>
      <c r="L11" s="49">
        <v>1234567906</v>
      </c>
      <c r="M11" s="49" t="s">
        <v>309</v>
      </c>
      <c r="N11" s="52" t="s">
        <v>370</v>
      </c>
      <c r="O11" s="272" t="s">
        <v>127</v>
      </c>
    </row>
    <row r="12" spans="1:15">
      <c r="A12" s="33"/>
      <c r="B12" s="49">
        <v>8</v>
      </c>
      <c r="C12" s="121" t="s">
        <v>208</v>
      </c>
      <c r="D12" s="49">
        <v>1234567897</v>
      </c>
      <c r="E12" s="50" t="s">
        <v>292</v>
      </c>
      <c r="F12" s="49" t="s">
        <v>366</v>
      </c>
      <c r="G12" s="49" t="s">
        <v>98</v>
      </c>
      <c r="H12" s="49" t="s">
        <v>98</v>
      </c>
      <c r="I12" s="49" t="s">
        <v>98</v>
      </c>
      <c r="J12" s="49"/>
      <c r="K12" s="50" t="s">
        <v>371</v>
      </c>
      <c r="L12" s="49">
        <v>1234567904</v>
      </c>
      <c r="M12" s="49" t="s">
        <v>309</v>
      </c>
      <c r="N12" s="52"/>
      <c r="O12" s="272" t="s">
        <v>125</v>
      </c>
    </row>
    <row r="13" spans="1:15">
      <c r="A13" s="33"/>
      <c r="B13" s="49">
        <v>9</v>
      </c>
      <c r="C13" s="121" t="s">
        <v>208</v>
      </c>
      <c r="D13" s="49">
        <v>1234567898</v>
      </c>
      <c r="E13" s="50" t="s">
        <v>291</v>
      </c>
      <c r="F13" s="49" t="s">
        <v>366</v>
      </c>
      <c r="G13" s="49"/>
      <c r="H13" s="49" t="s">
        <v>98</v>
      </c>
      <c r="I13" s="49"/>
      <c r="J13" s="49"/>
      <c r="K13" s="50" t="s">
        <v>372</v>
      </c>
      <c r="L13" s="49">
        <v>1234567900</v>
      </c>
      <c r="M13" s="49" t="s">
        <v>675</v>
      </c>
      <c r="N13" s="52"/>
      <c r="O13" s="272" t="s">
        <v>123</v>
      </c>
    </row>
    <row r="14" spans="1:15" s="82" customFormat="1">
      <c r="A14" s="86"/>
      <c r="B14" s="49">
        <v>10</v>
      </c>
      <c r="C14" s="121" t="s">
        <v>208</v>
      </c>
      <c r="D14" s="49">
        <v>1234567899</v>
      </c>
      <c r="E14" s="50" t="s">
        <v>297</v>
      </c>
      <c r="F14" s="49" t="s">
        <v>366</v>
      </c>
      <c r="G14" s="49"/>
      <c r="H14" s="49"/>
      <c r="I14" s="49"/>
      <c r="J14" s="49" t="s">
        <v>98</v>
      </c>
      <c r="K14" s="50" t="s">
        <v>373</v>
      </c>
      <c r="L14" s="49">
        <v>1234567920</v>
      </c>
      <c r="M14" s="49" t="s">
        <v>309</v>
      </c>
      <c r="N14" s="52"/>
      <c r="O14" s="272" t="s">
        <v>138</v>
      </c>
    </row>
    <row r="15" spans="1:15">
      <c r="A15" s="33"/>
      <c r="B15" s="49">
        <v>11</v>
      </c>
      <c r="C15" s="121" t="s">
        <v>374</v>
      </c>
      <c r="D15" s="49">
        <v>1234567900</v>
      </c>
      <c r="E15" s="50" t="s">
        <v>290</v>
      </c>
      <c r="F15" s="49" t="s">
        <v>366</v>
      </c>
      <c r="G15" s="49" t="s">
        <v>98</v>
      </c>
      <c r="H15" s="49" t="s">
        <v>98</v>
      </c>
      <c r="I15" s="49" t="s">
        <v>98</v>
      </c>
      <c r="J15" s="49"/>
      <c r="K15" s="50" t="s">
        <v>375</v>
      </c>
      <c r="L15" s="49">
        <v>1234567898</v>
      </c>
      <c r="M15" s="49" t="s">
        <v>309</v>
      </c>
      <c r="N15" s="52" t="s">
        <v>376</v>
      </c>
      <c r="O15" s="272" t="s">
        <v>122</v>
      </c>
    </row>
    <row r="16" spans="1:15">
      <c r="A16" s="33"/>
      <c r="B16" s="49">
        <v>12</v>
      </c>
      <c r="C16" s="121" t="s">
        <v>374</v>
      </c>
      <c r="D16" s="49">
        <v>1234567901</v>
      </c>
      <c r="E16" s="50" t="s">
        <v>339</v>
      </c>
      <c r="F16" s="49" t="s">
        <v>366</v>
      </c>
      <c r="G16" s="49"/>
      <c r="H16" s="49" t="s">
        <v>98</v>
      </c>
      <c r="I16" s="49" t="s">
        <v>98</v>
      </c>
      <c r="J16" s="49" t="s">
        <v>98</v>
      </c>
      <c r="K16" s="50" t="s">
        <v>375</v>
      </c>
      <c r="L16" s="49">
        <v>1234567922</v>
      </c>
      <c r="M16" s="49" t="s">
        <v>309</v>
      </c>
      <c r="N16" s="52" t="s">
        <v>377</v>
      </c>
      <c r="O16" s="272" t="s">
        <v>140</v>
      </c>
    </row>
  </sheetData>
  <mergeCells count="11">
    <mergeCell ref="O3:O4"/>
    <mergeCell ref="M3:M4"/>
    <mergeCell ref="N3:N4"/>
    <mergeCell ref="L3:L4"/>
    <mergeCell ref="G3:J3"/>
    <mergeCell ref="B3:B4"/>
    <mergeCell ref="E3:E4"/>
    <mergeCell ref="F3:F4"/>
    <mergeCell ref="K3:K4"/>
    <mergeCell ref="C3:C4"/>
    <mergeCell ref="D3:D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6" orientation="landscape" verticalDpi="4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69D3-BEE8-4667-9F5D-18CDE27626BA}">
  <sheetPr>
    <pageSetUpPr fitToPage="1"/>
  </sheetPr>
  <dimension ref="B1:O25"/>
  <sheetViews>
    <sheetView zoomScaleNormal="100" workbookViewId="0">
      <selection activeCell="E31" sqref="E31"/>
    </sheetView>
  </sheetViews>
  <sheetFormatPr defaultColWidth="8.88671875" defaultRowHeight="13.5"/>
  <cols>
    <col min="1" max="1" width="2.77734375" style="82" customWidth="1"/>
    <col min="2" max="2" width="5.77734375" style="83" customWidth="1"/>
    <col min="3" max="3" width="12.77734375" style="83" customWidth="1"/>
    <col min="4" max="5" width="5.77734375" style="83" customWidth="1"/>
    <col min="6" max="6" width="10.77734375" style="83" customWidth="1"/>
    <col min="7" max="7" width="38.44140625" style="83" bestFit="1" customWidth="1"/>
    <col min="8" max="8" width="21.33203125" style="83" customWidth="1"/>
    <col min="9" max="10" width="5.77734375" style="83" customWidth="1"/>
    <col min="11" max="11" width="30.77734375" style="83" customWidth="1"/>
    <col min="12" max="12" width="9.77734375" style="83" bestFit="1" customWidth="1"/>
    <col min="13" max="13" width="9.44140625" style="83" bestFit="1" customWidth="1"/>
    <col min="14" max="14" width="20.77734375" style="82" customWidth="1"/>
    <col min="15" max="15" width="8.88671875" style="83"/>
    <col min="16" max="16384" width="8.88671875" style="82"/>
  </cols>
  <sheetData>
    <row r="1" spans="2:15" ht="53.25" customHeight="1">
      <c r="B1" s="102"/>
      <c r="C1" s="102"/>
      <c r="D1" s="102"/>
      <c r="E1" s="102"/>
      <c r="F1" s="102"/>
    </row>
    <row r="2" spans="2:15" ht="9.9499999999999993" customHeight="1">
      <c r="B2" s="102"/>
      <c r="C2" s="102"/>
      <c r="D2" s="102"/>
      <c r="E2" s="102"/>
      <c r="F2" s="102"/>
    </row>
    <row r="3" spans="2:15">
      <c r="B3" s="408" t="s">
        <v>62</v>
      </c>
      <c r="C3" s="411" t="s">
        <v>86</v>
      </c>
      <c r="D3" s="412"/>
      <c r="E3" s="413"/>
      <c r="F3" s="408" t="s">
        <v>87</v>
      </c>
      <c r="G3" s="408" t="s">
        <v>88</v>
      </c>
      <c r="H3" s="408" t="s">
        <v>90</v>
      </c>
      <c r="I3" s="408" t="s">
        <v>89</v>
      </c>
      <c r="J3" s="408"/>
      <c r="K3" s="409" t="s">
        <v>97</v>
      </c>
      <c r="L3" s="408" t="s">
        <v>85</v>
      </c>
      <c r="M3" s="408" t="s">
        <v>338</v>
      </c>
      <c r="N3" s="408" t="s">
        <v>20</v>
      </c>
      <c r="O3" s="408" t="s">
        <v>117</v>
      </c>
    </row>
    <row r="4" spans="2:15">
      <c r="B4" s="408"/>
      <c r="C4" s="120" t="s">
        <v>91</v>
      </c>
      <c r="D4" s="120" t="s">
        <v>92</v>
      </c>
      <c r="E4" s="120" t="s">
        <v>93</v>
      </c>
      <c r="F4" s="408"/>
      <c r="G4" s="408"/>
      <c r="H4" s="408"/>
      <c r="I4" s="270" t="s">
        <v>83</v>
      </c>
      <c r="J4" s="270" t="s">
        <v>84</v>
      </c>
      <c r="K4" s="410"/>
      <c r="L4" s="408"/>
      <c r="M4" s="408"/>
      <c r="N4" s="408"/>
      <c r="O4" s="408"/>
    </row>
    <row r="5" spans="2:15">
      <c r="B5" s="49">
        <v>1</v>
      </c>
      <c r="C5" s="49" t="s">
        <v>248</v>
      </c>
      <c r="D5" s="49" t="s">
        <v>201</v>
      </c>
      <c r="E5" s="49" t="s">
        <v>199</v>
      </c>
      <c r="F5" s="49" t="s">
        <v>349</v>
      </c>
      <c r="G5" s="50" t="s">
        <v>308</v>
      </c>
      <c r="H5" s="49" t="s">
        <v>366</v>
      </c>
      <c r="I5" s="271" t="s">
        <v>98</v>
      </c>
      <c r="J5" s="271"/>
      <c r="K5" s="50" t="s">
        <v>378</v>
      </c>
      <c r="L5" s="49">
        <v>1234567917</v>
      </c>
      <c r="M5" s="49" t="s">
        <v>309</v>
      </c>
      <c r="N5" s="52"/>
      <c r="O5" s="272" t="s">
        <v>134</v>
      </c>
    </row>
    <row r="6" spans="2:15">
      <c r="B6" s="49">
        <v>2</v>
      </c>
      <c r="C6" s="49" t="s">
        <v>248</v>
      </c>
      <c r="D6" s="49" t="s">
        <v>201</v>
      </c>
      <c r="E6" s="49" t="s">
        <v>199</v>
      </c>
      <c r="F6" s="49" t="s">
        <v>311</v>
      </c>
      <c r="G6" s="50" t="s">
        <v>662</v>
      </c>
      <c r="H6" s="49" t="s">
        <v>366</v>
      </c>
      <c r="I6" s="271"/>
      <c r="J6" s="271" t="s">
        <v>98</v>
      </c>
      <c r="K6" s="50" t="s">
        <v>367</v>
      </c>
      <c r="L6" s="49">
        <v>1234567922</v>
      </c>
      <c r="M6" s="49" t="s">
        <v>309</v>
      </c>
      <c r="N6" s="52"/>
      <c r="O6" s="272" t="s">
        <v>140</v>
      </c>
    </row>
    <row r="7" spans="2:15">
      <c r="B7" s="49">
        <v>3</v>
      </c>
      <c r="C7" s="49" t="s">
        <v>248</v>
      </c>
      <c r="D7" s="49" t="s">
        <v>201</v>
      </c>
      <c r="E7" s="49" t="s">
        <v>200</v>
      </c>
      <c r="F7" s="49" t="s">
        <v>312</v>
      </c>
      <c r="G7" s="50" t="s">
        <v>300</v>
      </c>
      <c r="H7" s="49" t="s">
        <v>366</v>
      </c>
      <c r="I7" s="271" t="s">
        <v>98</v>
      </c>
      <c r="J7" s="271"/>
      <c r="K7" s="50" t="s">
        <v>379</v>
      </c>
      <c r="L7" s="49">
        <v>1234567899</v>
      </c>
      <c r="M7" s="49" t="s">
        <v>336</v>
      </c>
      <c r="N7" s="52"/>
      <c r="O7" s="272" t="s">
        <v>123</v>
      </c>
    </row>
    <row r="8" spans="2:15">
      <c r="B8" s="49">
        <v>4</v>
      </c>
      <c r="C8" s="49" t="s">
        <v>248</v>
      </c>
      <c r="D8" s="49" t="s">
        <v>201</v>
      </c>
      <c r="E8" s="49" t="s">
        <v>200</v>
      </c>
      <c r="F8" s="49" t="s">
        <v>313</v>
      </c>
      <c r="G8" s="50" t="s">
        <v>661</v>
      </c>
      <c r="H8" s="49" t="s">
        <v>366</v>
      </c>
      <c r="I8" s="271"/>
      <c r="J8" s="271" t="s">
        <v>98</v>
      </c>
      <c r="K8" s="50" t="s">
        <v>340</v>
      </c>
      <c r="L8" s="49">
        <v>1234567910</v>
      </c>
      <c r="M8" s="49" t="s">
        <v>309</v>
      </c>
      <c r="N8" s="52"/>
      <c r="O8" s="272" t="s">
        <v>129</v>
      </c>
    </row>
    <row r="9" spans="2:15">
      <c r="B9" s="49">
        <v>5</v>
      </c>
      <c r="C9" s="49" t="s">
        <v>248</v>
      </c>
      <c r="D9" s="49" t="s">
        <v>211</v>
      </c>
      <c r="E9" s="49" t="s">
        <v>199</v>
      </c>
      <c r="F9" s="49" t="s">
        <v>314</v>
      </c>
      <c r="G9" s="50" t="s">
        <v>341</v>
      </c>
      <c r="H9" s="49" t="s">
        <v>366</v>
      </c>
      <c r="I9" s="271" t="s">
        <v>98</v>
      </c>
      <c r="J9" s="271"/>
      <c r="K9" s="50" t="s">
        <v>378</v>
      </c>
      <c r="L9" s="49">
        <v>1234567895</v>
      </c>
      <c r="M9" s="49" t="s">
        <v>309</v>
      </c>
      <c r="N9" s="52"/>
      <c r="O9" s="272" t="s">
        <v>121</v>
      </c>
    </row>
    <row r="10" spans="2:15">
      <c r="B10" s="49">
        <v>6</v>
      </c>
      <c r="C10" s="49" t="s">
        <v>248</v>
      </c>
      <c r="D10" s="49" t="s">
        <v>211</v>
      </c>
      <c r="E10" s="49" t="s">
        <v>199</v>
      </c>
      <c r="F10" s="49" t="s">
        <v>315</v>
      </c>
      <c r="G10" s="50" t="s">
        <v>302</v>
      </c>
      <c r="H10" s="49" t="s">
        <v>366</v>
      </c>
      <c r="I10" s="271"/>
      <c r="J10" s="271" t="s">
        <v>98</v>
      </c>
      <c r="K10" s="50" t="s">
        <v>367</v>
      </c>
      <c r="L10" s="49">
        <v>1234567912</v>
      </c>
      <c r="M10" s="49" t="s">
        <v>336</v>
      </c>
      <c r="N10" s="52"/>
      <c r="O10" s="272" t="s">
        <v>130</v>
      </c>
    </row>
    <row r="11" spans="2:15">
      <c r="B11" s="49">
        <v>7</v>
      </c>
      <c r="C11" s="49" t="s">
        <v>248</v>
      </c>
      <c r="D11" s="49" t="s">
        <v>211</v>
      </c>
      <c r="E11" s="49" t="s">
        <v>200</v>
      </c>
      <c r="F11" s="49" t="s">
        <v>316</v>
      </c>
      <c r="G11" s="50" t="s">
        <v>304</v>
      </c>
      <c r="H11" s="49" t="s">
        <v>366</v>
      </c>
      <c r="I11" s="271" t="s">
        <v>98</v>
      </c>
      <c r="J11" s="271"/>
      <c r="K11" s="50" t="s">
        <v>379</v>
      </c>
      <c r="L11" s="49">
        <v>1234567908</v>
      </c>
      <c r="M11" s="49" t="s">
        <v>309</v>
      </c>
      <c r="N11" s="52"/>
      <c r="O11" s="272" t="s">
        <v>128</v>
      </c>
    </row>
    <row r="12" spans="2:15">
      <c r="B12" s="49">
        <v>8</v>
      </c>
      <c r="C12" s="49" t="s">
        <v>248</v>
      </c>
      <c r="D12" s="49" t="s">
        <v>211</v>
      </c>
      <c r="E12" s="49" t="s">
        <v>200</v>
      </c>
      <c r="F12" s="49" t="s">
        <v>317</v>
      </c>
      <c r="G12" s="50" t="s">
        <v>342</v>
      </c>
      <c r="H12" s="49" t="s">
        <v>366</v>
      </c>
      <c r="I12" s="271"/>
      <c r="J12" s="271" t="s">
        <v>98</v>
      </c>
      <c r="K12" s="50" t="s">
        <v>340</v>
      </c>
      <c r="L12" s="49">
        <v>1234567905</v>
      </c>
      <c r="M12" s="49" t="s">
        <v>334</v>
      </c>
      <c r="N12" s="52"/>
      <c r="O12" s="272" t="s">
        <v>126</v>
      </c>
    </row>
    <row r="13" spans="2:15">
      <c r="B13" s="49">
        <v>9</v>
      </c>
      <c r="C13" s="49" t="s">
        <v>331</v>
      </c>
      <c r="D13" s="49" t="s">
        <v>201</v>
      </c>
      <c r="E13" s="49" t="s">
        <v>199</v>
      </c>
      <c r="F13" s="49" t="s">
        <v>318</v>
      </c>
      <c r="G13" s="50" t="s">
        <v>298</v>
      </c>
      <c r="H13" s="49" t="s">
        <v>366</v>
      </c>
      <c r="I13" s="271" t="s">
        <v>98</v>
      </c>
      <c r="J13" s="271" t="s">
        <v>98</v>
      </c>
      <c r="K13" s="50" t="s">
        <v>380</v>
      </c>
      <c r="L13" s="49">
        <v>1234567896</v>
      </c>
      <c r="M13" s="49" t="s">
        <v>309</v>
      </c>
      <c r="N13" s="52"/>
      <c r="O13" s="272" t="s">
        <v>121</v>
      </c>
    </row>
    <row r="14" spans="2:15">
      <c r="B14" s="49">
        <v>10</v>
      </c>
      <c r="C14" s="49" t="s">
        <v>331</v>
      </c>
      <c r="D14" s="49" t="s">
        <v>211</v>
      </c>
      <c r="E14" s="49" t="s">
        <v>199</v>
      </c>
      <c r="F14" s="49" t="s">
        <v>319</v>
      </c>
      <c r="G14" s="50" t="s">
        <v>306</v>
      </c>
      <c r="H14" s="49" t="s">
        <v>366</v>
      </c>
      <c r="I14" s="271" t="s">
        <v>98</v>
      </c>
      <c r="J14" s="271" t="s">
        <v>98</v>
      </c>
      <c r="K14" s="50" t="s">
        <v>381</v>
      </c>
      <c r="L14" s="49">
        <v>1234567921</v>
      </c>
      <c r="M14" s="49" t="s">
        <v>309</v>
      </c>
      <c r="N14" s="52"/>
      <c r="O14" s="272" t="s">
        <v>139</v>
      </c>
    </row>
    <row r="15" spans="2:15">
      <c r="B15" s="49">
        <v>11</v>
      </c>
      <c r="C15" s="49" t="s">
        <v>352</v>
      </c>
      <c r="D15" s="49" t="s">
        <v>137</v>
      </c>
      <c r="E15" s="49" t="s">
        <v>199</v>
      </c>
      <c r="F15" s="49" t="s">
        <v>320</v>
      </c>
      <c r="G15" s="50" t="s">
        <v>301</v>
      </c>
      <c r="H15" s="49" t="s">
        <v>366</v>
      </c>
      <c r="I15" s="271"/>
      <c r="J15" s="271" t="s">
        <v>98</v>
      </c>
      <c r="K15" s="50" t="s">
        <v>382</v>
      </c>
      <c r="L15" s="49">
        <v>1234567906</v>
      </c>
      <c r="M15" s="49" t="s">
        <v>309</v>
      </c>
      <c r="N15" s="52"/>
      <c r="O15" s="272" t="s">
        <v>127</v>
      </c>
    </row>
    <row r="16" spans="2:15">
      <c r="B16" s="49">
        <v>12</v>
      </c>
      <c r="C16" s="49" t="s">
        <v>274</v>
      </c>
      <c r="D16" s="49" t="s">
        <v>137</v>
      </c>
      <c r="E16" s="49" t="s">
        <v>199</v>
      </c>
      <c r="F16" s="49" t="s">
        <v>321</v>
      </c>
      <c r="G16" s="50" t="s">
        <v>305</v>
      </c>
      <c r="H16" s="49" t="s">
        <v>366</v>
      </c>
      <c r="I16" s="271" t="s">
        <v>98</v>
      </c>
      <c r="J16" s="271" t="s">
        <v>98</v>
      </c>
      <c r="K16" s="50" t="s">
        <v>383</v>
      </c>
      <c r="L16" s="49">
        <v>1234567916</v>
      </c>
      <c r="M16" s="49" t="s">
        <v>309</v>
      </c>
      <c r="N16" s="52"/>
      <c r="O16" s="272" t="s">
        <v>133</v>
      </c>
    </row>
    <row r="17" spans="2:15">
      <c r="B17" s="49">
        <v>13</v>
      </c>
      <c r="C17" s="49" t="s">
        <v>274</v>
      </c>
      <c r="D17" s="49" t="s">
        <v>137</v>
      </c>
      <c r="E17" s="49" t="s">
        <v>200</v>
      </c>
      <c r="F17" s="49" t="s">
        <v>322</v>
      </c>
      <c r="G17" s="50" t="s">
        <v>303</v>
      </c>
      <c r="H17" s="49" t="s">
        <v>366</v>
      </c>
      <c r="I17" s="271" t="s">
        <v>98</v>
      </c>
      <c r="J17" s="271" t="s">
        <v>98</v>
      </c>
      <c r="K17" s="50" t="s">
        <v>383</v>
      </c>
      <c r="L17" s="49">
        <v>1234567911</v>
      </c>
      <c r="M17" s="49" t="s">
        <v>334</v>
      </c>
      <c r="N17" s="52"/>
      <c r="O17" s="272" t="s">
        <v>129</v>
      </c>
    </row>
    <row r="18" spans="2:15">
      <c r="B18" s="49">
        <v>14</v>
      </c>
      <c r="C18" s="49" t="s">
        <v>354</v>
      </c>
      <c r="D18" s="49" t="s">
        <v>137</v>
      </c>
      <c r="E18" s="49" t="s">
        <v>199</v>
      </c>
      <c r="F18" s="49" t="s">
        <v>323</v>
      </c>
      <c r="G18" s="50" t="s">
        <v>355</v>
      </c>
      <c r="H18" s="49" t="s">
        <v>366</v>
      </c>
      <c r="I18" s="271" t="s">
        <v>98</v>
      </c>
      <c r="J18" s="271" t="s">
        <v>98</v>
      </c>
      <c r="K18" s="50" t="s">
        <v>384</v>
      </c>
      <c r="L18" s="49">
        <v>1234567922</v>
      </c>
      <c r="M18" s="49" t="s">
        <v>309</v>
      </c>
      <c r="N18" s="52"/>
      <c r="O18" s="272" t="s">
        <v>140</v>
      </c>
    </row>
    <row r="19" spans="2:15">
      <c r="B19" s="49">
        <v>15</v>
      </c>
      <c r="C19" s="49" t="s">
        <v>354</v>
      </c>
      <c r="D19" s="49" t="s">
        <v>137</v>
      </c>
      <c r="E19" s="49" t="s">
        <v>200</v>
      </c>
      <c r="F19" s="49" t="s">
        <v>324</v>
      </c>
      <c r="G19" s="50" t="s">
        <v>385</v>
      </c>
      <c r="H19" s="49" t="s">
        <v>366</v>
      </c>
      <c r="I19" s="271" t="s">
        <v>98</v>
      </c>
      <c r="J19" s="271" t="s">
        <v>98</v>
      </c>
      <c r="K19" s="50" t="s">
        <v>384</v>
      </c>
      <c r="L19" s="49"/>
      <c r="M19" s="49" t="s">
        <v>309</v>
      </c>
      <c r="N19" s="52"/>
      <c r="O19" s="272" t="s">
        <v>309</v>
      </c>
    </row>
    <row r="20" spans="2:15">
      <c r="B20" s="49">
        <v>16</v>
      </c>
      <c r="C20" s="49" t="s">
        <v>353</v>
      </c>
      <c r="D20" s="49" t="s">
        <v>137</v>
      </c>
      <c r="E20" s="49" t="s">
        <v>199</v>
      </c>
      <c r="F20" s="49" t="s">
        <v>325</v>
      </c>
      <c r="G20" s="50" t="s">
        <v>386</v>
      </c>
      <c r="H20" s="49" t="s">
        <v>366</v>
      </c>
      <c r="I20" s="271" t="s">
        <v>98</v>
      </c>
      <c r="J20" s="271" t="s">
        <v>98</v>
      </c>
      <c r="K20" s="50" t="s">
        <v>387</v>
      </c>
      <c r="L20" s="49"/>
      <c r="M20" s="49" t="s">
        <v>309</v>
      </c>
      <c r="N20" s="52"/>
      <c r="O20" s="272" t="s">
        <v>309</v>
      </c>
    </row>
    <row r="21" spans="2:15">
      <c r="B21" s="49">
        <v>17</v>
      </c>
      <c r="C21" s="49" t="s">
        <v>353</v>
      </c>
      <c r="D21" s="49" t="s">
        <v>137</v>
      </c>
      <c r="E21" s="49" t="s">
        <v>200</v>
      </c>
      <c r="F21" s="49" t="s">
        <v>326</v>
      </c>
      <c r="G21" s="50" t="s">
        <v>310</v>
      </c>
      <c r="H21" s="49" t="s">
        <v>366</v>
      </c>
      <c r="I21" s="271" t="s">
        <v>98</v>
      </c>
      <c r="J21" s="271" t="s">
        <v>98</v>
      </c>
      <c r="K21" s="50" t="s">
        <v>387</v>
      </c>
      <c r="L21" s="49">
        <v>1234567911</v>
      </c>
      <c r="M21" s="49" t="s">
        <v>334</v>
      </c>
      <c r="N21" s="52"/>
      <c r="O21" s="272" t="s">
        <v>129</v>
      </c>
    </row>
    <row r="22" spans="2:15">
      <c r="B22" s="49">
        <v>18</v>
      </c>
      <c r="C22" s="49" t="s">
        <v>249</v>
      </c>
      <c r="D22" s="49" t="s">
        <v>211</v>
      </c>
      <c r="E22" s="49" t="s">
        <v>199</v>
      </c>
      <c r="F22" s="49" t="s">
        <v>327</v>
      </c>
      <c r="G22" s="50" t="s">
        <v>307</v>
      </c>
      <c r="H22" s="49" t="s">
        <v>366</v>
      </c>
      <c r="I22" s="271" t="s">
        <v>98</v>
      </c>
      <c r="J22" s="271" t="s">
        <v>98</v>
      </c>
      <c r="K22" s="50" t="s">
        <v>388</v>
      </c>
      <c r="L22" s="49">
        <v>1234567923</v>
      </c>
      <c r="M22" s="49" t="s">
        <v>309</v>
      </c>
      <c r="N22" s="52"/>
      <c r="O22" s="272" t="s">
        <v>140</v>
      </c>
    </row>
    <row r="23" spans="2:15">
      <c r="B23" s="49">
        <v>19</v>
      </c>
      <c r="C23" s="49" t="s">
        <v>249</v>
      </c>
      <c r="D23" s="49" t="s">
        <v>211</v>
      </c>
      <c r="E23" s="49" t="s">
        <v>199</v>
      </c>
      <c r="F23" s="49" t="s">
        <v>328</v>
      </c>
      <c r="G23" s="50" t="s">
        <v>343</v>
      </c>
      <c r="H23" s="49" t="s">
        <v>366</v>
      </c>
      <c r="I23" s="271" t="s">
        <v>98</v>
      </c>
      <c r="J23" s="271" t="s">
        <v>98</v>
      </c>
      <c r="K23" s="50" t="s">
        <v>389</v>
      </c>
      <c r="L23" s="49">
        <v>1234567916</v>
      </c>
      <c r="M23" s="49" t="s">
        <v>309</v>
      </c>
      <c r="N23" s="52"/>
      <c r="O23" s="272" t="s">
        <v>133</v>
      </c>
    </row>
    <row r="24" spans="2:15">
      <c r="B24" s="49">
        <v>20</v>
      </c>
      <c r="C24" s="49" t="s">
        <v>249</v>
      </c>
      <c r="D24" s="49" t="s">
        <v>201</v>
      </c>
      <c r="E24" s="49" t="s">
        <v>200</v>
      </c>
      <c r="F24" s="49" t="s">
        <v>329</v>
      </c>
      <c r="G24" s="50" t="s">
        <v>299</v>
      </c>
      <c r="H24" s="49" t="s">
        <v>366</v>
      </c>
      <c r="I24" s="271" t="s">
        <v>98</v>
      </c>
      <c r="J24" s="271" t="s">
        <v>98</v>
      </c>
      <c r="K24" s="50" t="s">
        <v>388</v>
      </c>
      <c r="L24" s="49">
        <v>1234567897</v>
      </c>
      <c r="M24" s="49" t="s">
        <v>335</v>
      </c>
      <c r="N24" s="52"/>
      <c r="O24" s="272" t="s">
        <v>122</v>
      </c>
    </row>
    <row r="25" spans="2:15">
      <c r="N25" s="83"/>
    </row>
  </sheetData>
  <mergeCells count="11">
    <mergeCell ref="O3:O4"/>
    <mergeCell ref="B3:B4"/>
    <mergeCell ref="C3:E3"/>
    <mergeCell ref="G3:G4"/>
    <mergeCell ref="H3:H4"/>
    <mergeCell ref="M3:M4"/>
    <mergeCell ref="I3:J3"/>
    <mergeCell ref="K3:K4"/>
    <mergeCell ref="L3:L4"/>
    <mergeCell ref="N3:N4"/>
    <mergeCell ref="F3:F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6" orientation="landscape" verticalDpi="4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059B-C8D7-45F8-BBD9-ECD3ADEC6EF1}">
  <sheetPr>
    <pageSetUpPr fitToPage="1"/>
  </sheetPr>
  <dimension ref="A1:K30"/>
  <sheetViews>
    <sheetView zoomScaleNormal="100" workbookViewId="0"/>
  </sheetViews>
  <sheetFormatPr defaultColWidth="8.88671875" defaultRowHeight="13.5"/>
  <cols>
    <col min="1" max="1" width="2.77734375" style="30" customWidth="1"/>
    <col min="2" max="2" width="5.77734375" style="31" customWidth="1"/>
    <col min="3" max="3" width="10.77734375" style="31" customWidth="1"/>
    <col min="4" max="4" width="15.77734375" style="31" customWidth="1"/>
    <col min="5" max="7" width="10.77734375" style="31" customWidth="1"/>
    <col min="8" max="8" width="15.77734375" style="31" customWidth="1"/>
    <col min="9" max="9" width="15.77734375" style="30" customWidth="1"/>
    <col min="10" max="10" width="19.77734375" style="30" customWidth="1"/>
    <col min="11" max="16384" width="8.88671875" style="30"/>
  </cols>
  <sheetData>
    <row r="1" spans="1:11" s="82" customFormat="1" ht="66" customHeight="1">
      <c r="B1" s="102"/>
      <c r="C1" s="102"/>
      <c r="D1" s="83"/>
      <c r="E1" s="83"/>
      <c r="F1" s="83"/>
      <c r="G1" s="83"/>
      <c r="H1" s="83"/>
    </row>
    <row r="2" spans="1:11" s="82" customFormat="1" ht="9.9499999999999993" customHeight="1">
      <c r="B2" s="32"/>
      <c r="C2" s="32"/>
      <c r="D2" s="84"/>
      <c r="E2" s="84"/>
      <c r="F2" s="84"/>
      <c r="G2" s="84"/>
      <c r="H2" s="84"/>
      <c r="I2" s="85"/>
      <c r="J2" s="85"/>
    </row>
    <row r="3" spans="1:11" ht="15" customHeight="1">
      <c r="A3" s="33"/>
      <c r="B3" s="51" t="s">
        <v>62</v>
      </c>
      <c r="C3" s="51" t="s">
        <v>101</v>
      </c>
      <c r="D3" s="51" t="s">
        <v>102</v>
      </c>
      <c r="E3" s="51" t="s">
        <v>21</v>
      </c>
      <c r="F3" s="51" t="s">
        <v>65</v>
      </c>
      <c r="G3" s="51" t="s">
        <v>69</v>
      </c>
      <c r="H3" s="51" t="s">
        <v>66</v>
      </c>
      <c r="I3" s="51" t="s">
        <v>67</v>
      </c>
      <c r="J3" s="51" t="s">
        <v>41</v>
      </c>
      <c r="K3" s="34"/>
    </row>
    <row r="4" spans="1:11">
      <c r="A4" s="33"/>
      <c r="B4" s="49">
        <f t="shared" ref="B4:B28" si="0">ROW()-3</f>
        <v>1</v>
      </c>
      <c r="C4" s="49" t="s">
        <v>55</v>
      </c>
      <c r="D4" s="49" t="s">
        <v>105</v>
      </c>
      <c r="E4" s="49"/>
      <c r="F4" s="49"/>
      <c r="G4" s="50"/>
      <c r="H4" s="50"/>
      <c r="I4" s="52"/>
      <c r="J4" s="52"/>
      <c r="K4" s="34"/>
    </row>
    <row r="5" spans="1:11">
      <c r="A5" s="33"/>
      <c r="B5" s="49">
        <f t="shared" si="0"/>
        <v>2</v>
      </c>
      <c r="C5" s="49" t="s">
        <v>55</v>
      </c>
      <c r="D5" s="49" t="s">
        <v>105</v>
      </c>
      <c r="E5" s="49"/>
      <c r="F5" s="49"/>
      <c r="G5" s="50"/>
      <c r="H5" s="50"/>
      <c r="I5" s="50"/>
      <c r="J5" s="52"/>
      <c r="K5" s="34"/>
    </row>
    <row r="6" spans="1:11">
      <c r="A6" s="33"/>
      <c r="B6" s="49">
        <f t="shared" si="0"/>
        <v>3</v>
      </c>
      <c r="C6" s="49" t="s">
        <v>55</v>
      </c>
      <c r="D6" s="49" t="s">
        <v>105</v>
      </c>
      <c r="E6" s="49"/>
      <c r="F6" s="49"/>
      <c r="G6" s="50"/>
      <c r="H6" s="50"/>
      <c r="I6" s="50"/>
      <c r="J6" s="52"/>
      <c r="K6" s="34"/>
    </row>
    <row r="7" spans="1:11">
      <c r="A7" s="33"/>
      <c r="B7" s="49">
        <f t="shared" si="0"/>
        <v>4</v>
      </c>
      <c r="C7" s="49" t="s">
        <v>55</v>
      </c>
      <c r="D7" s="49" t="s">
        <v>105</v>
      </c>
      <c r="E7" s="49"/>
      <c r="F7" s="49"/>
      <c r="G7" s="50"/>
      <c r="H7" s="50"/>
      <c r="I7" s="50"/>
      <c r="J7" s="52"/>
      <c r="K7" s="34"/>
    </row>
    <row r="8" spans="1:11">
      <c r="A8" s="33"/>
      <c r="B8" s="49">
        <f t="shared" si="0"/>
        <v>5</v>
      </c>
      <c r="C8" s="49" t="s">
        <v>55</v>
      </c>
      <c r="D8" s="49" t="s">
        <v>105</v>
      </c>
      <c r="E8" s="49"/>
      <c r="F8" s="49"/>
      <c r="G8" s="50"/>
      <c r="H8" s="50"/>
      <c r="I8" s="50"/>
      <c r="J8" s="52"/>
      <c r="K8" s="34"/>
    </row>
    <row r="9" spans="1:11">
      <c r="A9" s="33"/>
      <c r="B9" s="49">
        <f t="shared" si="0"/>
        <v>6</v>
      </c>
      <c r="C9" s="49" t="s">
        <v>55</v>
      </c>
      <c r="D9" s="49" t="s">
        <v>105</v>
      </c>
      <c r="E9" s="49"/>
      <c r="F9" s="49"/>
      <c r="G9" s="50"/>
      <c r="H9" s="50"/>
      <c r="I9" s="50"/>
      <c r="J9" s="52"/>
      <c r="K9" s="34"/>
    </row>
    <row r="10" spans="1:11">
      <c r="A10" s="33"/>
      <c r="B10" s="49">
        <f t="shared" si="0"/>
        <v>7</v>
      </c>
      <c r="C10" s="49" t="s">
        <v>55</v>
      </c>
      <c r="D10" s="49" t="s">
        <v>105</v>
      </c>
      <c r="E10" s="49"/>
      <c r="F10" s="49"/>
      <c r="G10" s="50"/>
      <c r="H10" s="50"/>
      <c r="I10" s="50"/>
      <c r="J10" s="52"/>
      <c r="K10" s="34"/>
    </row>
    <row r="11" spans="1:11">
      <c r="A11" s="33"/>
      <c r="B11" s="49">
        <f t="shared" si="0"/>
        <v>8</v>
      </c>
      <c r="C11" s="49" t="s">
        <v>55</v>
      </c>
      <c r="D11" s="49" t="s">
        <v>105</v>
      </c>
      <c r="E11" s="49"/>
      <c r="F11" s="49"/>
      <c r="G11" s="50"/>
      <c r="H11" s="50"/>
      <c r="I11" s="50"/>
      <c r="J11" s="52"/>
      <c r="K11" s="34"/>
    </row>
    <row r="12" spans="1:11">
      <c r="A12" s="33"/>
      <c r="B12" s="49">
        <f t="shared" si="0"/>
        <v>9</v>
      </c>
      <c r="C12" s="49" t="s">
        <v>55</v>
      </c>
      <c r="D12" s="49" t="s">
        <v>105</v>
      </c>
      <c r="E12" s="49"/>
      <c r="F12" s="49"/>
      <c r="G12" s="50"/>
      <c r="H12" s="50"/>
      <c r="I12" s="50"/>
      <c r="J12" s="52"/>
      <c r="K12" s="34"/>
    </row>
    <row r="13" spans="1:11">
      <c r="A13" s="33"/>
      <c r="B13" s="49">
        <f t="shared" si="0"/>
        <v>10</v>
      </c>
      <c r="C13" s="49" t="s">
        <v>55</v>
      </c>
      <c r="D13" s="49" t="s">
        <v>105</v>
      </c>
      <c r="E13" s="49"/>
      <c r="F13" s="49"/>
      <c r="G13" s="50"/>
      <c r="H13" s="50"/>
      <c r="I13" s="50"/>
      <c r="J13" s="52"/>
      <c r="K13" s="34"/>
    </row>
    <row r="14" spans="1:11">
      <c r="A14" s="33"/>
      <c r="B14" s="49">
        <f t="shared" si="0"/>
        <v>11</v>
      </c>
      <c r="C14" s="49" t="s">
        <v>55</v>
      </c>
      <c r="D14" s="49" t="s">
        <v>106</v>
      </c>
      <c r="E14" s="49"/>
      <c r="F14" s="49"/>
      <c r="G14" s="50"/>
      <c r="H14" s="50"/>
      <c r="I14" s="50"/>
      <c r="J14" s="52"/>
      <c r="K14" s="34"/>
    </row>
    <row r="15" spans="1:11">
      <c r="A15" s="33"/>
      <c r="B15" s="49">
        <f t="shared" si="0"/>
        <v>12</v>
      </c>
      <c r="C15" s="49" t="s">
        <v>55</v>
      </c>
      <c r="D15" s="49" t="s">
        <v>106</v>
      </c>
      <c r="E15" s="49"/>
      <c r="F15" s="49"/>
      <c r="G15" s="50"/>
      <c r="H15" s="50"/>
      <c r="I15" s="50"/>
      <c r="J15" s="52"/>
      <c r="K15" s="34"/>
    </row>
    <row r="16" spans="1:11">
      <c r="A16" s="33"/>
      <c r="B16" s="49">
        <f t="shared" si="0"/>
        <v>13</v>
      </c>
      <c r="C16" s="49" t="s">
        <v>55</v>
      </c>
      <c r="D16" s="49" t="s">
        <v>107</v>
      </c>
      <c r="E16" s="49"/>
      <c r="F16" s="49"/>
      <c r="G16" s="50"/>
      <c r="H16" s="50"/>
      <c r="I16" s="52"/>
      <c r="J16" s="52"/>
      <c r="K16" s="34"/>
    </row>
    <row r="17" spans="1:11">
      <c r="A17" s="33"/>
      <c r="B17" s="49">
        <f t="shared" si="0"/>
        <v>14</v>
      </c>
      <c r="C17" s="49" t="s">
        <v>55</v>
      </c>
      <c r="D17" s="49" t="s">
        <v>107</v>
      </c>
      <c r="E17" s="49"/>
      <c r="F17" s="49"/>
      <c r="G17" s="50"/>
      <c r="H17" s="50"/>
      <c r="I17" s="52"/>
      <c r="J17" s="52"/>
      <c r="K17" s="34"/>
    </row>
    <row r="18" spans="1:11">
      <c r="A18" s="33"/>
      <c r="B18" s="49">
        <f t="shared" si="0"/>
        <v>15</v>
      </c>
      <c r="C18" s="49" t="s">
        <v>55</v>
      </c>
      <c r="D18" s="49" t="s">
        <v>108</v>
      </c>
      <c r="E18" s="49"/>
      <c r="F18" s="49"/>
      <c r="G18" s="50"/>
      <c r="H18" s="50"/>
      <c r="I18" s="52"/>
      <c r="J18" s="52"/>
      <c r="K18" s="34"/>
    </row>
    <row r="19" spans="1:11">
      <c r="A19" s="33"/>
      <c r="B19" s="49">
        <f t="shared" si="0"/>
        <v>16</v>
      </c>
      <c r="C19" s="49" t="s">
        <v>55</v>
      </c>
      <c r="D19" s="49" t="s">
        <v>108</v>
      </c>
      <c r="E19" s="49"/>
      <c r="F19" s="49"/>
      <c r="G19" s="50"/>
      <c r="H19" s="50"/>
      <c r="I19" s="50"/>
      <c r="J19" s="50"/>
      <c r="K19" s="34"/>
    </row>
    <row r="20" spans="1:11">
      <c r="A20" s="33"/>
      <c r="B20" s="49">
        <f t="shared" si="0"/>
        <v>17</v>
      </c>
      <c r="C20" s="49" t="s">
        <v>56</v>
      </c>
      <c r="D20" s="49" t="s">
        <v>103</v>
      </c>
      <c r="E20" s="49"/>
      <c r="F20" s="49"/>
      <c r="G20" s="50"/>
      <c r="H20" s="50"/>
      <c r="I20" s="50"/>
      <c r="J20" s="52" t="s">
        <v>99</v>
      </c>
      <c r="K20" s="34"/>
    </row>
    <row r="21" spans="1:11">
      <c r="A21" s="33"/>
      <c r="B21" s="49">
        <f t="shared" si="0"/>
        <v>18</v>
      </c>
      <c r="C21" s="49" t="s">
        <v>56</v>
      </c>
      <c r="D21" s="49" t="s">
        <v>103</v>
      </c>
      <c r="E21" s="49"/>
      <c r="F21" s="49"/>
      <c r="G21" s="50"/>
      <c r="H21" s="50"/>
      <c r="I21" s="50"/>
      <c r="J21" s="52" t="s">
        <v>99</v>
      </c>
      <c r="K21" s="34"/>
    </row>
    <row r="22" spans="1:11">
      <c r="A22" s="33"/>
      <c r="B22" s="49">
        <f t="shared" si="0"/>
        <v>19</v>
      </c>
      <c r="C22" s="49" t="s">
        <v>56</v>
      </c>
      <c r="D22" s="49" t="s">
        <v>103</v>
      </c>
      <c r="E22" s="49"/>
      <c r="F22" s="49"/>
      <c r="G22" s="50"/>
      <c r="H22" s="50"/>
      <c r="I22" s="52"/>
      <c r="J22" s="52" t="s">
        <v>99</v>
      </c>
      <c r="K22" s="34"/>
    </row>
    <row r="23" spans="1:11">
      <c r="A23" s="33"/>
      <c r="B23" s="49">
        <f t="shared" si="0"/>
        <v>20</v>
      </c>
      <c r="C23" s="49" t="s">
        <v>56</v>
      </c>
      <c r="D23" s="49" t="s">
        <v>104</v>
      </c>
      <c r="E23" s="49"/>
      <c r="F23" s="49"/>
      <c r="G23" s="50"/>
      <c r="H23" s="50"/>
      <c r="I23" s="50"/>
      <c r="J23" s="52" t="s">
        <v>99</v>
      </c>
      <c r="K23" s="34"/>
    </row>
    <row r="24" spans="1:11">
      <c r="A24" s="33"/>
      <c r="B24" s="49">
        <f t="shared" si="0"/>
        <v>21</v>
      </c>
      <c r="C24" s="49" t="s">
        <v>56</v>
      </c>
      <c r="D24" s="49" t="s">
        <v>104</v>
      </c>
      <c r="E24" s="49"/>
      <c r="F24" s="49"/>
      <c r="G24" s="50"/>
      <c r="H24" s="50"/>
      <c r="I24" s="50"/>
      <c r="J24" s="52" t="s">
        <v>99</v>
      </c>
      <c r="K24" s="34"/>
    </row>
    <row r="25" spans="1:11">
      <c r="A25" s="33"/>
      <c r="B25" s="49">
        <f t="shared" si="0"/>
        <v>22</v>
      </c>
      <c r="C25" s="49" t="s">
        <v>56</v>
      </c>
      <c r="D25" s="49" t="s">
        <v>104</v>
      </c>
      <c r="E25" s="49"/>
      <c r="F25" s="49"/>
      <c r="G25" s="50"/>
      <c r="H25" s="50"/>
      <c r="I25" s="50"/>
      <c r="J25" s="52" t="s">
        <v>99</v>
      </c>
      <c r="K25" s="34"/>
    </row>
    <row r="26" spans="1:11">
      <c r="A26" s="33"/>
      <c r="B26" s="53">
        <f t="shared" si="0"/>
        <v>23</v>
      </c>
      <c r="C26" s="49" t="s">
        <v>56</v>
      </c>
      <c r="D26" s="49" t="s">
        <v>109</v>
      </c>
      <c r="E26" s="49"/>
      <c r="F26" s="54"/>
      <c r="G26" s="50"/>
      <c r="H26" s="50"/>
      <c r="I26" s="49"/>
      <c r="J26" s="52" t="s">
        <v>99</v>
      </c>
      <c r="K26" s="34"/>
    </row>
    <row r="27" spans="1:11">
      <c r="A27" s="33"/>
      <c r="B27" s="53">
        <f t="shared" si="0"/>
        <v>24</v>
      </c>
      <c r="C27" s="49" t="s">
        <v>56</v>
      </c>
      <c r="D27" s="49" t="s">
        <v>109</v>
      </c>
      <c r="E27" s="49"/>
      <c r="F27" s="54"/>
      <c r="G27" s="50"/>
      <c r="H27" s="50"/>
      <c r="I27" s="49"/>
      <c r="J27" s="52" t="s">
        <v>99</v>
      </c>
      <c r="K27" s="34"/>
    </row>
    <row r="28" spans="1:11">
      <c r="A28" s="33"/>
      <c r="B28" s="53">
        <f t="shared" si="0"/>
        <v>25</v>
      </c>
      <c r="C28" s="49" t="s">
        <v>56</v>
      </c>
      <c r="D28" s="49" t="s">
        <v>109</v>
      </c>
      <c r="E28" s="49"/>
      <c r="F28" s="54"/>
      <c r="G28" s="50"/>
      <c r="H28" s="50"/>
      <c r="I28" s="49"/>
      <c r="J28" s="52" t="s">
        <v>99</v>
      </c>
      <c r="K28" s="34"/>
    </row>
    <row r="29" spans="1:11">
      <c r="B29" s="35"/>
      <c r="C29" s="35"/>
      <c r="D29" s="35"/>
      <c r="E29" s="35"/>
      <c r="F29" s="35"/>
      <c r="G29" s="35"/>
      <c r="H29" s="35"/>
      <c r="I29" s="36"/>
      <c r="J29" s="36"/>
    </row>
    <row r="30" spans="1:11">
      <c r="B30" s="404" t="s">
        <v>100</v>
      </c>
      <c r="C30" s="405"/>
      <c r="D30" s="405"/>
      <c r="E30" s="405"/>
      <c r="F30" s="405"/>
      <c r="G30" s="405"/>
      <c r="H30" s="405"/>
      <c r="I30" s="405"/>
      <c r="J30" s="406"/>
    </row>
  </sheetData>
  <mergeCells count="1">
    <mergeCell ref="B30:J30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9" orientation="landscape" verticalDpi="4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3</vt:i4>
      </vt:variant>
    </vt:vector>
  </HeadingPairs>
  <TitlesOfParts>
    <vt:vector size="17" baseType="lpstr">
      <vt:lpstr>표지</vt:lpstr>
      <vt:lpstr>개정이력</vt:lpstr>
      <vt:lpstr>헤더</vt:lpstr>
      <vt:lpstr>결과</vt:lpstr>
      <vt:lpstr>1-1_주문 클레임 목록</vt:lpstr>
      <vt:lpstr>1-2_주문 클레임</vt:lpstr>
      <vt:lpstr>2-1_AS 목록</vt:lpstr>
      <vt:lpstr>2-2_AS</vt:lpstr>
      <vt:lpstr>회원Data</vt:lpstr>
      <vt:lpstr>입점사Data</vt:lpstr>
      <vt:lpstr>상품Data</vt:lpstr>
      <vt:lpstr>프로모션Data</vt:lpstr>
      <vt:lpstr>쿠폰Data</vt:lpstr>
      <vt:lpstr>관리자Data</vt:lpstr>
      <vt:lpstr>'1-2_주문 클레임'!Print_Area</vt:lpstr>
      <vt:lpstr>개정이력!Print_Area</vt:lpstr>
      <vt:lpstr>표지!Print_Area</vt:lpstr>
    </vt:vector>
  </TitlesOfParts>
  <Company>삼성SDS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통합테스트시나리오</dc:title>
  <dc:creator>jspark81@3top.co.kr</dc:creator>
  <cp:lastModifiedBy>3top_user000</cp:lastModifiedBy>
  <cp:lastPrinted>2019-06-10T00:56:03Z</cp:lastPrinted>
  <dcterms:created xsi:type="dcterms:W3CDTF">2005-07-28T05:32:49Z</dcterms:created>
  <dcterms:modified xsi:type="dcterms:W3CDTF">2019-06-13T01:37:40Z</dcterms:modified>
</cp:coreProperties>
</file>