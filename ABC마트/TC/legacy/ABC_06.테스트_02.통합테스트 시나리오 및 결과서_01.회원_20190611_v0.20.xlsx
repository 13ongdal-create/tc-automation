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tables/table11.xml" ContentType="application/vnd.openxmlformats-officedocument.spreadsheetml.table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drawings/drawing9.xml" ContentType="application/vnd.openxmlformats-officedocument.drawing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drawings/drawing11.xml" ContentType="application/vnd.openxmlformats-officedocument.drawing+xml"/>
  <Override PartName="/xl/tables/table15.xml" ContentType="application/vnd.openxmlformats-officedocument.spreadsheetml.table+xml"/>
  <Override PartName="/xl/drawings/drawing12.xml" ContentType="application/vnd.openxmlformats-officedocument.drawing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BC Mart\06. 테스트\02. 통합테스트 시나리오 및 결과서\"/>
    </mc:Choice>
  </mc:AlternateContent>
  <xr:revisionPtr revIDLastSave="0" documentId="13_ncr:1_{A995860D-FD0B-442B-B180-E0AB93D78144}" xr6:coauthVersionLast="43" xr6:coauthVersionMax="43" xr10:uidLastSave="{00000000-0000-0000-0000-000000000000}"/>
  <bookViews>
    <workbookView xWindow="-120" yWindow="-120" windowWidth="29040" windowHeight="15840" tabRatio="808" activeTab="5" xr2:uid="{00000000-000D-0000-FFFF-FFFF00000000}"/>
  </bookViews>
  <sheets>
    <sheet name="표지" sheetId="1" r:id="rId1"/>
    <sheet name="개정이력" sheetId="11" r:id="rId2"/>
    <sheet name="헤더" sheetId="20" state="hidden" r:id="rId3"/>
    <sheet name="결과" sheetId="25" r:id="rId4"/>
    <sheet name="0_목록" sheetId="33" r:id="rId5"/>
    <sheet name="1_회원가입" sheetId="26" r:id="rId6"/>
    <sheet name="2_회원전환" sheetId="27" r:id="rId7"/>
    <sheet name="3_로그인" sheetId="28" r:id="rId8"/>
    <sheet name="4_ID 찾기" sheetId="29" r:id="rId9"/>
    <sheet name="5_PW 찾기" sheetId="30" r:id="rId10"/>
    <sheet name="6_임직원 인증" sheetId="31" r:id="rId11"/>
    <sheet name="7_회원 탈퇴" sheetId="32" r:id="rId12"/>
  </sheets>
  <externalReferences>
    <externalReference r:id="rId13"/>
  </externalReferences>
  <definedNames>
    <definedName name="_xlnm._FilterDatabase" localSheetId="5" hidden="1">'1_회원가입'!#REF!</definedName>
    <definedName name="_xlnm._FilterDatabase" localSheetId="6" hidden="1">'2_회원전환'!#REF!</definedName>
    <definedName name="_xlnm._FilterDatabase" localSheetId="7" hidden="1">'3_로그인'!#REF!</definedName>
    <definedName name="_xlnm._FilterDatabase" localSheetId="8" hidden="1">'4_ID 찾기'!#REF!</definedName>
    <definedName name="_xlnm._FilterDatabase" localSheetId="9" hidden="1">'5_PW 찾기'!#REF!</definedName>
    <definedName name="_xlnm._FilterDatabase" localSheetId="10" hidden="1">'6_임직원 인증'!#REF!</definedName>
    <definedName name="_xlnm._FilterDatabase" localSheetId="11" hidden="1">'7_회원 탈퇴'!#REF!</definedName>
    <definedName name="_xlnm._FilterDatabase" localSheetId="3" hidden="1">결과!#REF!</definedName>
    <definedName name="CASE">[1]코드!$K$35:$K$41</definedName>
    <definedName name="DBMS">[1]코드!$G$35:$G$49</definedName>
    <definedName name="EndUser">[1]코드!$D$35:$D$39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 localSheetId="0">표지!$A$1:$J$29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 iterate="1"/>
  <customWorkbookViews>
    <customWorkbookView name="leeroy - 사용자 보기" guid="{A6CC21FE-7CAA-4904-A5F5-A181631EC1E8}" mergeInterval="0" personalView="1" maximized="1" xWindow="-9" yWindow="-9" windowWidth="1938" windowHeight="1050" activeSheetId="11"/>
    <customWorkbookView name="Martin - 사용자 보기" guid="{B85FF36A-E497-4344-8837-3F9CCFCDB95A}" mergeInterval="0" personalView="1" maximized="1" xWindow="-9" yWindow="-9" windowWidth="1938" windowHeight="1050" activeSheetId="10"/>
    <customWorkbookView name="sjhan - 사용자 보기" guid="{999532EC-1560-4A19-98E1-7A21A92EFAC8}" mergeInterval="0" personalView="1" maximized="1" xWindow="1592" yWindow="-8" windowWidth="1936" windowHeight="1056" activeSheetId="9"/>
    <customWorkbookView name="Registered User - 사용자 보기" guid="{7BC7DFEF-B243-4AEA-BD24-C08A31FC1961}" mergeInterval="0" personalView="1" maximized="1" windowWidth="1600" windowHeight="630" activeSheetId="16"/>
    <customWorkbookView name="Stanley - 사용자 보기" guid="{9E41C106-8555-4D00-9C60-0A4D2648D9CB}" mergeInterval="0" personalView="1" maximized="1" xWindow="1" yWindow="1" windowWidth="1600" windowHeight="662" tabRatio="808" activeSheetId="4"/>
    <customWorkbookView name="April - 사용자 보기" guid="{6B4CEAB6-6476-40EF-9561-4F8D85AFD37C}" mergeInterval="0" personalView="1" maximized="1" xWindow="1" yWindow="1" windowWidth="1362" windowHeight="540" tabRatio="808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3" i="25" l="1"/>
  <c r="G62" i="25"/>
  <c r="G61" i="25"/>
  <c r="G60" i="25"/>
  <c r="G54" i="25"/>
  <c r="G53" i="25"/>
  <c r="G52" i="25"/>
  <c r="G51" i="25"/>
  <c r="G45" i="25"/>
  <c r="G44" i="25"/>
  <c r="G43" i="25"/>
  <c r="G42" i="25"/>
  <c r="G36" i="25"/>
  <c r="G35" i="25"/>
  <c r="G34" i="25"/>
  <c r="G33" i="25"/>
  <c r="G27" i="25"/>
  <c r="G26" i="25"/>
  <c r="G25" i="25"/>
  <c r="G24" i="25"/>
  <c r="G18" i="25"/>
  <c r="G17" i="25"/>
  <c r="G16" i="25"/>
  <c r="G15" i="25"/>
  <c r="G9" i="25"/>
  <c r="G8" i="25"/>
  <c r="G7" i="25"/>
  <c r="G6" i="25"/>
  <c r="F63" i="25"/>
  <c r="M63" i="25" s="1"/>
  <c r="F62" i="25"/>
  <c r="M62" i="25" s="1"/>
  <c r="F61" i="25"/>
  <c r="M61" i="25" s="1"/>
  <c r="F60" i="25"/>
  <c r="M60" i="25" s="1"/>
  <c r="F54" i="25"/>
  <c r="M54" i="25" s="1"/>
  <c r="F53" i="25"/>
  <c r="M53" i="25" s="1"/>
  <c r="F52" i="25"/>
  <c r="M52" i="25" s="1"/>
  <c r="F51" i="25"/>
  <c r="M51" i="25" s="1"/>
  <c r="F45" i="25"/>
  <c r="M45" i="25" s="1"/>
  <c r="F44" i="25"/>
  <c r="M44" i="25" s="1"/>
  <c r="F43" i="25"/>
  <c r="M43" i="25" s="1"/>
  <c r="F42" i="25"/>
  <c r="M42" i="25" s="1"/>
  <c r="F36" i="25"/>
  <c r="M36" i="25" s="1"/>
  <c r="F35" i="25"/>
  <c r="M35" i="25" s="1"/>
  <c r="F34" i="25"/>
  <c r="M34" i="25" s="1"/>
  <c r="F33" i="25"/>
  <c r="M33" i="25" s="1"/>
  <c r="F27" i="25"/>
  <c r="M27" i="25" s="1"/>
  <c r="F26" i="25"/>
  <c r="M26" i="25" s="1"/>
  <c r="F25" i="25"/>
  <c r="M25" i="25" s="1"/>
  <c r="F24" i="25"/>
  <c r="M24" i="25" s="1"/>
  <c r="F18" i="25"/>
  <c r="M18" i="25" s="1"/>
  <c r="F17" i="25"/>
  <c r="M17" i="25" s="1"/>
  <c r="F16" i="25"/>
  <c r="M16" i="25" s="1"/>
  <c r="F15" i="25"/>
  <c r="M15" i="25" s="1"/>
  <c r="F9" i="25"/>
  <c r="F8" i="25"/>
  <c r="F7" i="25"/>
  <c r="F6" i="25"/>
  <c r="D60" i="25"/>
  <c r="J60" i="25" s="1"/>
  <c r="E63" i="25"/>
  <c r="E62" i="25"/>
  <c r="E61" i="25"/>
  <c r="E60" i="25"/>
  <c r="E54" i="25"/>
  <c r="E53" i="25"/>
  <c r="E52" i="25"/>
  <c r="E51" i="25"/>
  <c r="E36" i="25"/>
  <c r="E35" i="25"/>
  <c r="E34" i="25"/>
  <c r="E33" i="25"/>
  <c r="E27" i="25"/>
  <c r="E26" i="25"/>
  <c r="E25" i="25"/>
  <c r="E24" i="25"/>
  <c r="E18" i="25"/>
  <c r="E17" i="25"/>
  <c r="E16" i="25"/>
  <c r="E15" i="25"/>
  <c r="E9" i="25"/>
  <c r="E8" i="25"/>
  <c r="E7" i="25"/>
  <c r="E6" i="25"/>
  <c r="E45" i="25"/>
  <c r="E44" i="25"/>
  <c r="E43" i="25"/>
  <c r="E42" i="25"/>
  <c r="D63" i="25"/>
  <c r="J63" i="25" s="1"/>
  <c r="D62" i="25"/>
  <c r="J62" i="25" s="1"/>
  <c r="D61" i="25"/>
  <c r="J61" i="25" s="1"/>
  <c r="D54" i="25"/>
  <c r="J54" i="25" s="1"/>
  <c r="D53" i="25"/>
  <c r="J53" i="25" s="1"/>
  <c r="D52" i="25"/>
  <c r="J52" i="25" s="1"/>
  <c r="D51" i="25"/>
  <c r="J51" i="25" s="1"/>
  <c r="D45" i="25"/>
  <c r="J45" i="25" s="1"/>
  <c r="D44" i="25"/>
  <c r="J44" i="25" s="1"/>
  <c r="D43" i="25"/>
  <c r="J43" i="25" s="1"/>
  <c r="D42" i="25"/>
  <c r="J42" i="25" s="1"/>
  <c r="D36" i="25"/>
  <c r="J36" i="25" s="1"/>
  <c r="D35" i="25"/>
  <c r="J35" i="25" s="1"/>
  <c r="D34" i="25"/>
  <c r="J34" i="25" s="1"/>
  <c r="D33" i="25"/>
  <c r="J33" i="25" s="1"/>
  <c r="D27" i="25"/>
  <c r="J27" i="25" s="1"/>
  <c r="D26" i="25"/>
  <c r="J26" i="25" s="1"/>
  <c r="D25" i="25"/>
  <c r="J25" i="25" s="1"/>
  <c r="D24" i="25"/>
  <c r="J24" i="25" s="1"/>
  <c r="D18" i="25"/>
  <c r="D17" i="25"/>
  <c r="D16" i="25"/>
  <c r="D15" i="25"/>
  <c r="J15" i="25" s="1"/>
  <c r="C63" i="25"/>
  <c r="C62" i="25"/>
  <c r="C61" i="25"/>
  <c r="C60" i="25"/>
  <c r="C54" i="25"/>
  <c r="C53" i="25"/>
  <c r="C52" i="25"/>
  <c r="C51" i="25"/>
  <c r="C45" i="25"/>
  <c r="C44" i="25"/>
  <c r="C43" i="25"/>
  <c r="C42" i="25"/>
  <c r="C36" i="25"/>
  <c r="C35" i="25"/>
  <c r="C34" i="25"/>
  <c r="C33" i="25"/>
  <c r="C27" i="25"/>
  <c r="C26" i="25"/>
  <c r="C25" i="25"/>
  <c r="C24" i="25"/>
  <c r="C18" i="25"/>
  <c r="C17" i="25"/>
  <c r="C16" i="25"/>
  <c r="C15" i="25"/>
  <c r="D9" i="25"/>
  <c r="D8" i="25"/>
  <c r="D7" i="25"/>
  <c r="D6" i="25"/>
  <c r="J6" i="25" s="1"/>
  <c r="C9" i="25"/>
  <c r="C85" i="25" s="1"/>
  <c r="C8" i="25"/>
  <c r="C84" i="25" s="1"/>
  <c r="C7" i="25"/>
  <c r="C83" i="25" s="1"/>
  <c r="C6" i="25"/>
  <c r="C82" i="25" s="1"/>
  <c r="J8" i="25" l="1"/>
  <c r="J9" i="25"/>
  <c r="J7" i="25"/>
  <c r="E84" i="25"/>
  <c r="M7" i="25"/>
  <c r="E85" i="25"/>
  <c r="M8" i="25"/>
  <c r="E82" i="25"/>
  <c r="M9" i="25"/>
  <c r="C19" i="25"/>
  <c r="C73" i="25" s="1"/>
  <c r="C28" i="25"/>
  <c r="C37" i="25"/>
  <c r="E83" i="25"/>
  <c r="M6" i="25"/>
  <c r="F85" i="25"/>
  <c r="M85" i="25" s="1"/>
  <c r="F84" i="25"/>
  <c r="M84" i="25" s="1"/>
  <c r="F83" i="25"/>
  <c r="M83" i="25" s="1"/>
  <c r="F82" i="25"/>
  <c r="M82" i="25" s="1"/>
  <c r="D84" i="25"/>
  <c r="D85" i="25"/>
  <c r="D82" i="25"/>
  <c r="D83" i="25"/>
  <c r="L60" i="25"/>
  <c r="K62" i="25"/>
  <c r="K34" i="25"/>
  <c r="L24" i="25"/>
  <c r="K18" i="25"/>
  <c r="K6" i="25"/>
  <c r="L7" i="25"/>
  <c r="K8" i="25"/>
  <c r="K63" i="25"/>
  <c r="L63" i="25"/>
  <c r="L62" i="25"/>
  <c r="L61" i="25"/>
  <c r="K61" i="25"/>
  <c r="K60" i="25"/>
  <c r="K53" i="25"/>
  <c r="K52" i="25"/>
  <c r="L36" i="25"/>
  <c r="K36" i="25"/>
  <c r="K35" i="25"/>
  <c r="L35" i="25"/>
  <c r="L34" i="25"/>
  <c r="K33" i="25"/>
  <c r="L33" i="25"/>
  <c r="K27" i="25"/>
  <c r="L27" i="25"/>
  <c r="L26" i="25"/>
  <c r="K26" i="25"/>
  <c r="L25" i="25"/>
  <c r="K25" i="25"/>
  <c r="K24" i="25"/>
  <c r="J18" i="25"/>
  <c r="L18" i="25"/>
  <c r="L17" i="25"/>
  <c r="J17" i="25"/>
  <c r="K17" i="25"/>
  <c r="K16" i="25"/>
  <c r="J16" i="25"/>
  <c r="L16" i="25"/>
  <c r="K15" i="25"/>
  <c r="L15" i="25"/>
  <c r="K9" i="25"/>
  <c r="L9" i="25"/>
  <c r="L8" i="25"/>
  <c r="K7" i="25"/>
  <c r="L6" i="25"/>
  <c r="L43" i="25"/>
  <c r="K44" i="25"/>
  <c r="L44" i="25"/>
  <c r="K43" i="25"/>
  <c r="K42" i="25"/>
  <c r="L42" i="25"/>
  <c r="K45" i="25"/>
  <c r="L45" i="25"/>
  <c r="K51" i="25"/>
  <c r="L53" i="25"/>
  <c r="K54" i="25"/>
  <c r="L51" i="25"/>
  <c r="H51" i="25"/>
  <c r="I51" i="25" s="1"/>
  <c r="L54" i="25"/>
  <c r="H52" i="25"/>
  <c r="I52" i="25" s="1"/>
  <c r="L52" i="25"/>
  <c r="H63" i="25"/>
  <c r="I63" i="25" s="1"/>
  <c r="H54" i="25"/>
  <c r="I54" i="25" s="1"/>
  <c r="H45" i="25"/>
  <c r="I45" i="25" s="1"/>
  <c r="H42" i="25"/>
  <c r="I42" i="25" s="1"/>
  <c r="H36" i="25"/>
  <c r="I36" i="25" s="1"/>
  <c r="H33" i="25"/>
  <c r="I33" i="25" s="1"/>
  <c r="H27" i="25"/>
  <c r="I27" i="25" s="1"/>
  <c r="H26" i="25"/>
  <c r="I26" i="25" s="1"/>
  <c r="H25" i="25"/>
  <c r="I25" i="25" s="1"/>
  <c r="H17" i="25"/>
  <c r="I17" i="25" s="1"/>
  <c r="H16" i="25"/>
  <c r="I16" i="25" s="1"/>
  <c r="H15" i="25"/>
  <c r="I15" i="25" s="1"/>
  <c r="D28" i="25"/>
  <c r="C64" i="25"/>
  <c r="C78" i="25" s="1"/>
  <c r="E64" i="25"/>
  <c r="E78" i="25" s="1"/>
  <c r="D64" i="25"/>
  <c r="D78" i="25" s="1"/>
  <c r="C55" i="25"/>
  <c r="C77" i="25" s="1"/>
  <c r="D55" i="25"/>
  <c r="D77" i="25" s="1"/>
  <c r="D74" i="25"/>
  <c r="D10" i="25"/>
  <c r="C74" i="25"/>
  <c r="C10" i="25"/>
  <c r="C72" i="25" s="1"/>
  <c r="D19" i="25"/>
  <c r="F28" i="25"/>
  <c r="E37" i="25"/>
  <c r="E75" i="25" s="1"/>
  <c r="C46" i="25"/>
  <c r="C76" i="25" s="1"/>
  <c r="C75" i="25"/>
  <c r="D46" i="25"/>
  <c r="D37" i="25"/>
  <c r="F74" i="25" l="1"/>
  <c r="M74" i="25" s="1"/>
  <c r="M28" i="25"/>
  <c r="G84" i="25"/>
  <c r="J84" i="25" s="1"/>
  <c r="G82" i="25"/>
  <c r="J82" i="25" s="1"/>
  <c r="G83" i="25"/>
  <c r="J83" i="25" s="1"/>
  <c r="K85" i="25"/>
  <c r="G85" i="25"/>
  <c r="H85" i="25" s="1"/>
  <c r="I85" i="25" s="1"/>
  <c r="H62" i="25"/>
  <c r="I62" i="25" s="1"/>
  <c r="H61" i="25"/>
  <c r="I61" i="25" s="1"/>
  <c r="H60" i="25"/>
  <c r="I60" i="25" s="1"/>
  <c r="J64" i="25"/>
  <c r="L64" i="25"/>
  <c r="H35" i="25"/>
  <c r="I35" i="25" s="1"/>
  <c r="H34" i="25"/>
  <c r="I34" i="25" s="1"/>
  <c r="L37" i="25"/>
  <c r="J37" i="25"/>
  <c r="H24" i="25"/>
  <c r="I24" i="25" s="1"/>
  <c r="H18" i="25"/>
  <c r="I18" i="25" s="1"/>
  <c r="H9" i="25"/>
  <c r="I9" i="25" s="1"/>
  <c r="H8" i="25"/>
  <c r="I8" i="25" s="1"/>
  <c r="H7" i="25"/>
  <c r="I7" i="25" s="1"/>
  <c r="H6" i="25"/>
  <c r="I6" i="25" s="1"/>
  <c r="H43" i="25"/>
  <c r="I43" i="25" s="1"/>
  <c r="H44" i="25"/>
  <c r="I44" i="25" s="1"/>
  <c r="H53" i="25"/>
  <c r="I53" i="25" s="1"/>
  <c r="L84" i="25"/>
  <c r="D86" i="25"/>
  <c r="E19" i="25"/>
  <c r="E73" i="25" s="1"/>
  <c r="L83" i="25"/>
  <c r="C86" i="25"/>
  <c r="F37" i="25"/>
  <c r="K83" i="25"/>
  <c r="F64" i="25"/>
  <c r="G64" i="25"/>
  <c r="K64" i="25"/>
  <c r="C79" i="25"/>
  <c r="F55" i="25"/>
  <c r="K84" i="25"/>
  <c r="E46" i="25"/>
  <c r="E10" i="25"/>
  <c r="E72" i="25" s="1"/>
  <c r="E28" i="25"/>
  <c r="E74" i="25" s="1"/>
  <c r="F19" i="25"/>
  <c r="D76" i="25"/>
  <c r="G37" i="25"/>
  <c r="F10" i="25"/>
  <c r="D72" i="25"/>
  <c r="D75" i="25"/>
  <c r="K37" i="25"/>
  <c r="E55" i="25"/>
  <c r="F46" i="25"/>
  <c r="D73" i="25"/>
  <c r="F78" i="25" l="1"/>
  <c r="M78" i="25" s="1"/>
  <c r="M64" i="25"/>
  <c r="L55" i="25"/>
  <c r="E77" i="25"/>
  <c r="F77" i="25"/>
  <c r="M77" i="25" s="1"/>
  <c r="M55" i="25"/>
  <c r="K75" i="25"/>
  <c r="L46" i="25"/>
  <c r="E76" i="25"/>
  <c r="K76" i="25" s="1"/>
  <c r="F75" i="25"/>
  <c r="M75" i="25" s="1"/>
  <c r="M37" i="25"/>
  <c r="F76" i="25"/>
  <c r="M76" i="25" s="1"/>
  <c r="M46" i="25"/>
  <c r="F73" i="25"/>
  <c r="M73" i="25" s="1"/>
  <c r="M19" i="25"/>
  <c r="F72" i="25"/>
  <c r="M72" i="25" s="1"/>
  <c r="M10" i="25"/>
  <c r="J85" i="25"/>
  <c r="G75" i="25"/>
  <c r="J75" i="25" s="1"/>
  <c r="G78" i="25"/>
  <c r="J78" i="25" s="1"/>
  <c r="L28" i="25"/>
  <c r="J28" i="25"/>
  <c r="K19" i="25"/>
  <c r="L19" i="25"/>
  <c r="J19" i="25"/>
  <c r="L10" i="25"/>
  <c r="J46" i="25"/>
  <c r="J55" i="25"/>
  <c r="G19" i="25"/>
  <c r="H83" i="25"/>
  <c r="I83" i="25" s="1"/>
  <c r="F86" i="25"/>
  <c r="M86" i="25" s="1"/>
  <c r="H64" i="25"/>
  <c r="I64" i="25" s="1"/>
  <c r="H46" i="25"/>
  <c r="I46" i="25" s="1"/>
  <c r="G28" i="25"/>
  <c r="K73" i="25"/>
  <c r="D79" i="25"/>
  <c r="L73" i="25"/>
  <c r="K28" i="25"/>
  <c r="K72" i="25"/>
  <c r="L85" i="25"/>
  <c r="L76" i="25"/>
  <c r="G46" i="25"/>
  <c r="H82" i="25"/>
  <c r="G10" i="25"/>
  <c r="J10" i="25" s="1"/>
  <c r="K55" i="25"/>
  <c r="H37" i="25"/>
  <c r="I37" i="25" s="1"/>
  <c r="H19" i="25"/>
  <c r="I19" i="25" s="1"/>
  <c r="G55" i="25"/>
  <c r="K10" i="25"/>
  <c r="K46" i="25"/>
  <c r="E86" i="25"/>
  <c r="L82" i="25"/>
  <c r="K82" i="25"/>
  <c r="L75" i="25"/>
  <c r="H84" i="25"/>
  <c r="I84" i="25" s="1"/>
  <c r="L77" i="25" l="1"/>
  <c r="K77" i="25"/>
  <c r="J77" i="25"/>
  <c r="F79" i="25"/>
  <c r="M79" i="25" s="1"/>
  <c r="G77" i="25"/>
  <c r="G76" i="25"/>
  <c r="J76" i="25" s="1"/>
  <c r="G74" i="25"/>
  <c r="J74" i="25" s="1"/>
  <c r="G73" i="25"/>
  <c r="J73" i="25" s="1"/>
  <c r="G72" i="25"/>
  <c r="J72" i="25" s="1"/>
  <c r="H55" i="25"/>
  <c r="I55" i="25" s="1"/>
  <c r="H86" i="25"/>
  <c r="I86" i="25" s="1"/>
  <c r="I82" i="25"/>
  <c r="H10" i="25"/>
  <c r="I10" i="25" s="1"/>
  <c r="H75" i="25"/>
  <c r="I75" i="25" s="1"/>
  <c r="L78" i="25"/>
  <c r="K78" i="25"/>
  <c r="H28" i="25"/>
  <c r="I28" i="25" s="1"/>
  <c r="L86" i="25"/>
  <c r="K86" i="25"/>
  <c r="G86" i="25"/>
  <c r="J86" i="25" s="1"/>
  <c r="E79" i="25"/>
  <c r="L79" i="25" s="1"/>
  <c r="L72" i="25"/>
  <c r="L74" i="25"/>
  <c r="K74" i="25"/>
  <c r="H77" i="25" l="1"/>
  <c r="I77" i="25" s="1"/>
  <c r="H73" i="25"/>
  <c r="I73" i="25" s="1"/>
  <c r="H74" i="25"/>
  <c r="I74" i="25" s="1"/>
  <c r="K79" i="25"/>
  <c r="G79" i="25"/>
  <c r="J79" i="25" s="1"/>
  <c r="H78" i="25"/>
  <c r="I78" i="25" s="1"/>
  <c r="H76" i="25"/>
  <c r="I76" i="25" s="1"/>
  <c r="H72" i="25"/>
  <c r="I72" i="25" l="1"/>
  <c r="H79" i="25"/>
  <c r="I79" i="25" s="1"/>
</calcChain>
</file>

<file path=xl/sharedStrings.xml><?xml version="1.0" encoding="utf-8"?>
<sst xmlns="http://schemas.openxmlformats.org/spreadsheetml/2006/main" count="3698" uniqueCount="805">
  <si>
    <t>제.개정 이력</t>
    <phoneticPr fontId="3" type="noConversion"/>
  </si>
  <si>
    <t>프로젝트</t>
  </si>
  <si>
    <t>단계</t>
  </si>
  <si>
    <t>작성자</t>
  </si>
  <si>
    <t>버전</t>
    <phoneticPr fontId="3" type="noConversion"/>
  </si>
  <si>
    <t>제.개정일자</t>
    <phoneticPr fontId="3" type="noConversion"/>
  </si>
  <si>
    <t>제.개정내용</t>
    <phoneticPr fontId="3" type="noConversion"/>
  </si>
  <si>
    <t>작성자</t>
    <phoneticPr fontId="3" type="noConversion"/>
  </si>
  <si>
    <t>ABC-MART 온라인 쇼핑몰 2.0 구축</t>
    <phoneticPr fontId="3" type="noConversion"/>
  </si>
  <si>
    <t>프로젝트</t>
    <phoneticPr fontId="3" type="noConversion"/>
  </si>
  <si>
    <t>작성자</t>
    <phoneticPr fontId="3" type="noConversion"/>
  </si>
  <si>
    <t>작성일</t>
    <phoneticPr fontId="3" type="noConversion"/>
  </si>
  <si>
    <t>승인자</t>
    <phoneticPr fontId="3" type="noConversion"/>
  </si>
  <si>
    <t>승인일</t>
    <phoneticPr fontId="3" type="noConversion"/>
  </si>
  <si>
    <t>작성일</t>
    <phoneticPr fontId="3" type="noConversion"/>
  </si>
  <si>
    <t>초안 작성</t>
    <phoneticPr fontId="3" type="noConversion"/>
  </si>
  <si>
    <t>테스트</t>
    <phoneticPr fontId="3" type="noConversion"/>
  </si>
  <si>
    <t>통합테스트 시나리오 및 결과서</t>
    <phoneticPr fontId="3" type="noConversion"/>
  </si>
  <si>
    <t>비고</t>
    <phoneticPr fontId="3" type="noConversion"/>
  </si>
  <si>
    <t>ID</t>
    <phoneticPr fontId="3" type="noConversion"/>
  </si>
  <si>
    <t>시나리오 수</t>
    <phoneticPr fontId="3" type="noConversion"/>
  </si>
  <si>
    <t>Pass</t>
    <phoneticPr fontId="3" type="noConversion"/>
  </si>
  <si>
    <t>Fail</t>
    <phoneticPr fontId="3" type="noConversion"/>
  </si>
  <si>
    <t>N/A</t>
    <phoneticPr fontId="3" type="noConversion"/>
  </si>
  <si>
    <t>Block</t>
    <phoneticPr fontId="3" type="noConversion"/>
  </si>
  <si>
    <t>SYS</t>
    <phoneticPr fontId="3" type="noConversion"/>
  </si>
  <si>
    <t>시나리오 순서</t>
    <phoneticPr fontId="3" type="noConversion"/>
  </si>
  <si>
    <t>SYS</t>
    <phoneticPr fontId="24" type="noConversion"/>
  </si>
  <si>
    <t>중요도</t>
    <phoneticPr fontId="24" type="noConversion"/>
  </si>
  <si>
    <t>테스트 항목</t>
    <phoneticPr fontId="24" type="noConversion"/>
  </si>
  <si>
    <t>입력값</t>
    <phoneticPr fontId="24" type="noConversion"/>
  </si>
  <si>
    <t>기대 결과</t>
    <phoneticPr fontId="24" type="noConversion"/>
  </si>
  <si>
    <t>수행일자</t>
    <phoneticPr fontId="24" type="noConversion"/>
  </si>
  <si>
    <t>수행자</t>
    <phoneticPr fontId="24" type="noConversion"/>
  </si>
  <si>
    <t>테스트결과</t>
    <phoneticPr fontId="24" type="noConversion"/>
  </si>
  <si>
    <t>결함사항</t>
    <phoneticPr fontId="24" type="noConversion"/>
  </si>
  <si>
    <t>비고</t>
    <phoneticPr fontId="24" type="noConversion"/>
  </si>
  <si>
    <t>프로세스</t>
    <phoneticPr fontId="3" type="noConversion"/>
  </si>
  <si>
    <t>테스트 사전 준비사항</t>
    <phoneticPr fontId="3" type="noConversion"/>
  </si>
  <si>
    <t>수정여부</t>
    <phoneticPr fontId="3" type="noConversion"/>
  </si>
  <si>
    <t>시나리오명</t>
    <phoneticPr fontId="24" type="noConversion"/>
  </si>
  <si>
    <t>수행 절차</t>
    <phoneticPr fontId="3" type="noConversion"/>
  </si>
  <si>
    <t>Total</t>
    <phoneticPr fontId="3" type="noConversion"/>
  </si>
  <si>
    <t>진척율</t>
    <phoneticPr fontId="3" type="noConversion"/>
  </si>
  <si>
    <t>수행율</t>
    <phoneticPr fontId="3" type="noConversion"/>
  </si>
  <si>
    <t>성공율</t>
    <phoneticPr fontId="3" type="noConversion"/>
  </si>
  <si>
    <t>결함율</t>
    <phoneticPr fontId="3" type="noConversion"/>
  </si>
  <si>
    <t>수행불가율</t>
    <phoneticPr fontId="3" type="noConversion"/>
  </si>
  <si>
    <t>MO</t>
    <phoneticPr fontId="3" type="noConversion"/>
  </si>
  <si>
    <t>BO</t>
    <phoneticPr fontId="3" type="noConversion"/>
  </si>
  <si>
    <t>PO</t>
    <phoneticPr fontId="3" type="noConversion"/>
  </si>
  <si>
    <t>회원가입</t>
    <phoneticPr fontId="3" type="noConversion"/>
  </si>
  <si>
    <t>테스트 수행 현황</t>
    <phoneticPr fontId="3" type="noConversion"/>
  </si>
  <si>
    <t>Sheet명</t>
    <phoneticPr fontId="3" type="noConversion"/>
  </si>
  <si>
    <t>상</t>
    <phoneticPr fontId="3" type="noConversion"/>
  </si>
  <si>
    <t>약관동의</t>
    <phoneticPr fontId="3" type="noConversion"/>
  </si>
  <si>
    <t>회원정보입력</t>
    <phoneticPr fontId="3" type="noConversion"/>
  </si>
  <si>
    <t>쇼핑몰 로그인</t>
    <phoneticPr fontId="3" type="noConversion"/>
  </si>
  <si>
    <t>휴대폰 인증</t>
    <phoneticPr fontId="3" type="noConversion"/>
  </si>
  <si>
    <t>FO</t>
    <phoneticPr fontId="3" type="noConversion"/>
  </si>
  <si>
    <t>회원관리</t>
    <phoneticPr fontId="3" type="noConversion"/>
  </si>
  <si>
    <t>회원상세(온라인)</t>
    <phoneticPr fontId="3" type="noConversion"/>
  </si>
  <si>
    <t>회원상세(통합멤버십)</t>
    <phoneticPr fontId="3" type="noConversion"/>
  </si>
  <si>
    <t>회원상세(공통)</t>
    <phoneticPr fontId="3" type="noConversion"/>
  </si>
  <si>
    <t>통합멤버십 약관동의 화면으로 이동</t>
    <phoneticPr fontId="3" type="noConversion"/>
  </si>
  <si>
    <t>체크박스 체크</t>
    <phoneticPr fontId="3" type="noConversion"/>
  </si>
  <si>
    <t>이름, 생년월일, 아이디, 비밀번호, 비밀번호 확인, 이메일, 휴대폰번호, 마케팅 동의여부, 단골매장설정</t>
    <phoneticPr fontId="3" type="noConversion"/>
  </si>
  <si>
    <t>아이디/이메일</t>
    <phoneticPr fontId="3" type="noConversion"/>
  </si>
  <si>
    <t>아이디/비밀번호</t>
    <phoneticPr fontId="3" type="noConversion"/>
  </si>
  <si>
    <t>이름,  아이디, 비밀번호, 비밀번호 확인, 이메일, 휴대폰번호, 마케팅 동의여부</t>
    <phoneticPr fontId="3" type="noConversion"/>
  </si>
  <si>
    <t>주소, 마케팅동의 야간마케팅동의, 신발사이즈, 기념일 정보 입력</t>
    <phoneticPr fontId="3" type="noConversion"/>
  </si>
  <si>
    <t>포인트사용비밀번호 초기화, 블랙리스트 설정, 관리자 메모 입력</t>
    <phoneticPr fontId="3" type="noConversion"/>
  </si>
  <si>
    <t>FO</t>
    <phoneticPr fontId="3" type="noConversion"/>
  </si>
  <si>
    <t>상</t>
    <phoneticPr fontId="3" type="noConversion"/>
  </si>
  <si>
    <t>전환 메일 발송</t>
    <phoneticPr fontId="3" type="noConversion"/>
  </si>
  <si>
    <t>온라인회원 약관동의 화면으로 이동</t>
    <phoneticPr fontId="3" type="noConversion"/>
  </si>
  <si>
    <t>FO</t>
    <phoneticPr fontId="3" type="noConversion"/>
  </si>
  <si>
    <t>상</t>
    <phoneticPr fontId="3" type="noConversion"/>
  </si>
  <si>
    <t>5회 비밀번호 오류시 보안문자입력 팝업창 노출
- 보안문자 새로고침 확인
- 보안문자 정상 입력시 로그인페이지로 이동</t>
    <phoneticPr fontId="3" type="noConversion"/>
  </si>
  <si>
    <t>PW 입력 5회 오류</t>
    <phoneticPr fontId="3" type="noConversion"/>
  </si>
  <si>
    <t>로그인 완료 후 N일내  PW변경 이력이 없는 회원은 PW변경 팝업 노출</t>
    <phoneticPr fontId="3" type="noConversion"/>
  </si>
  <si>
    <t>탈퇴후 14일 이내회원 ID, PW입력</t>
    <phoneticPr fontId="3" type="noConversion"/>
  </si>
  <si>
    <t>탈퇴회원안내 팝업 노출</t>
    <phoneticPr fontId="3" type="noConversion"/>
  </si>
  <si>
    <t>정상 로그인</t>
    <phoneticPr fontId="3" type="noConversion"/>
  </si>
  <si>
    <t>탈퇴회원 로그인</t>
    <phoneticPr fontId="3" type="noConversion"/>
  </si>
  <si>
    <t>재로그인시 저장되었던 아이디 자동입력</t>
    <phoneticPr fontId="3" type="noConversion"/>
  </si>
  <si>
    <t>자동로그아웃</t>
    <phoneticPr fontId="3" type="noConversion"/>
  </si>
  <si>
    <t>아이디 저장 체크 확인</t>
    <phoneticPr fontId="3" type="noConversion"/>
  </si>
  <si>
    <t>로그인 2시간 경과후 자동 로그아웃</t>
    <phoneticPr fontId="3" type="noConversion"/>
  </si>
  <si>
    <t>비밀번호 변경안내 팝업 확인</t>
    <phoneticPr fontId="3" type="noConversion"/>
  </si>
  <si>
    <t>중</t>
    <phoneticPr fontId="3" type="noConversion"/>
  </si>
  <si>
    <t>하</t>
    <phoneticPr fontId="3" type="noConversion"/>
  </si>
  <si>
    <t>중</t>
    <phoneticPr fontId="3" type="noConversion"/>
  </si>
  <si>
    <t>SNS로그인 확인</t>
    <phoneticPr fontId="3" type="noConversion"/>
  </si>
  <si>
    <t>계정연동이 안된 페이스북, 네이버, 카카오 계정입력</t>
    <phoneticPr fontId="3" type="noConversion"/>
  </si>
  <si>
    <t>SNS로그인 계정연동 확인</t>
    <phoneticPr fontId="3" type="noConversion"/>
  </si>
  <si>
    <t>SNS 계정연결 팝업창 노출</t>
    <phoneticPr fontId="3" type="noConversion"/>
  </si>
  <si>
    <t>[확인] : 창닫힘 &gt; 마이페이지 &gt; 개인정보 &gt; SNS연결설정 페이지로 이동
[취소] : 창닫힘 &gt; 메인화면 이동</t>
    <phoneticPr fontId="3" type="noConversion"/>
  </si>
  <si>
    <t>회원가입 게이트 페이지로 이동</t>
    <phoneticPr fontId="3" type="noConversion"/>
  </si>
  <si>
    <t>비밀번호 변경기한</t>
    <phoneticPr fontId="3" type="noConversion"/>
  </si>
  <si>
    <t>SNS 연동</t>
    <phoneticPr fontId="3" type="noConversion"/>
  </si>
  <si>
    <t>비밀번호 초기화</t>
    <phoneticPr fontId="3" type="noConversion"/>
  </si>
  <si>
    <t>ID 찾기</t>
    <phoneticPr fontId="3" type="noConversion"/>
  </si>
  <si>
    <t>이메일 주소로 찾기</t>
    <phoneticPr fontId="3" type="noConversion"/>
  </si>
  <si>
    <t>이름, 이메일주소 입력</t>
    <phoneticPr fontId="3" type="noConversion"/>
  </si>
  <si>
    <t>이름, 이메일을 비정상적으로 입력시 실패페이지 팝업 노출</t>
    <phoneticPr fontId="3" type="noConversion"/>
  </si>
  <si>
    <t>탈퇴후 14일 미만인 이름, 이메일을 비정상적으로 입력시 실패페이지 팝업 노출(탈퇴 회원안내 페이지 삭제됨)</t>
    <phoneticPr fontId="3" type="noConversion"/>
  </si>
  <si>
    <t>ID 찾기 성공</t>
    <phoneticPr fontId="3" type="noConversion"/>
  </si>
  <si>
    <t>휴대폰 번호로 찾기</t>
    <phoneticPr fontId="3" type="noConversion"/>
  </si>
  <si>
    <t>이름, 휴대폰 번호 입력</t>
  </si>
  <si>
    <t>이름, 휴대폰 번호를 비정상적으로 입력시 실패페이지 팝업 노출</t>
  </si>
  <si>
    <t>탈퇴후 14일 미만인 이름, 휴대폰 번호를 비정상적으로 입력시 실패페이지 팝업 노출(탈퇴 회원안내 페이지 삭제됨)</t>
    <phoneticPr fontId="3" type="noConversion"/>
  </si>
  <si>
    <t>아이디, 이름, 휴대폰 번호를 비정상적으로 입력시 실패페이지 팝업 노출</t>
    <phoneticPr fontId="3" type="noConversion"/>
  </si>
  <si>
    <t>탈퇴후 14일 미만인 아이디, 이름, 휴대폰 번호를 비정상적으로 입력시 실패페이지 팝업 노출(탈퇴 회원안내 페이지 삭제됨)</t>
    <phoneticPr fontId="3" type="noConversion"/>
  </si>
  <si>
    <t>휴대폰 번호로 찾기 인증번호 입력</t>
    <phoneticPr fontId="3" type="noConversion"/>
  </si>
  <si>
    <t>이메일 주소로 찾기 인증번호 입력</t>
    <phoneticPr fontId="3" type="noConversion"/>
  </si>
  <si>
    <t>새로운 비밀번호로 로그인 확인</t>
    <phoneticPr fontId="3" type="noConversion"/>
  </si>
  <si>
    <t>아이디, 이름, 이메일주소 입력</t>
    <phoneticPr fontId="3" type="noConversion"/>
  </si>
  <si>
    <t>본인인증으로 찾기</t>
    <phoneticPr fontId="3" type="noConversion"/>
  </si>
  <si>
    <t>비밀번호 찾기 성공</t>
    <phoneticPr fontId="3" type="noConversion"/>
  </si>
  <si>
    <t>아이디, 이름, 이메일을 비정상적으로 입력시 실패페이지 팝업 노출(SB 없음)</t>
    <phoneticPr fontId="3" type="noConversion"/>
  </si>
  <si>
    <t>탈퇴후 14일 미만인 아이디, 이름, 이메일을 비정상적으로 입력시 실패페이지 팝업 노출(탈퇴 회원안내 페이지 삭제됨)(SB 없음)</t>
    <phoneticPr fontId="3" type="noConversion"/>
  </si>
  <si>
    <t>필수 체크 기능 확인</t>
  </si>
  <si>
    <t>필수 체크 기능확인</t>
  </si>
  <si>
    <t>회원가입 완료시 가입축하메일이 발송 확인</t>
  </si>
  <si>
    <t>아이디와 이메일 입력 완료시중복체크가 정상 동작 확인</t>
  </si>
  <si>
    <t>각 입력정보  정상 입력 확인</t>
  </si>
  <si>
    <t>전환 완료시 통합멤버십 전환메일 발송 확인</t>
  </si>
  <si>
    <t>전환한 아이디/비밀번호로 로그인 확인- 통합멤버십회원 등급 확인</t>
  </si>
  <si>
    <t>비밀번호, 비밀번호 확인 휴대폰번호, 마케팅 동의여부</t>
  </si>
  <si>
    <t>이름,  아이디, 비밀번호, 비밀번호 확인 이메일, 휴대폰번호, 마케팅 동의여부</t>
  </si>
  <si>
    <t>신규 가입한 아이디/비밀번호로 로그인 확인- 온라인회원 등급 확인</t>
  </si>
  <si>
    <t>각 버튼의 링크가 정확하게 이동되는지 확인</t>
  </si>
  <si>
    <t>각 페이지로 정상적으로 이동되는지 확인</t>
  </si>
  <si>
    <t>비밀번호 변경기한이 변경되는지 확인</t>
  </si>
  <si>
    <t>연동된 SNS 명이 노출되는지 확인</t>
  </si>
  <si>
    <t>인증번호가 일치할 경우 성공페이지 팝업 노출
- 이름, 이메일이 일치하는 아이디가 노출 되는지 확인</t>
  </si>
  <si>
    <t>아이디, 이름, 휴대폰 번호를 정상적으로 입력시 등록된 휴대폰 번호로 인증번호가 발송되는지 확인</t>
  </si>
  <si>
    <t>인증번호가 일치할 경우 새비밀번호 입력 페이지가 노출 되는지 확인</t>
  </si>
  <si>
    <t>아이디, 이름, 이메일을 정상적으로 입력시 등록된 이메일 주소로 인증번호가 발송되는지 확인</t>
  </si>
  <si>
    <t>본인인증 성공시 새비밀번호 입력 페이지가 노출 되는지 확인
- 본인인증 실패시 실패얼럿 노출</t>
  </si>
  <si>
    <t>이름, 이메일을 정상적으로 입력시 등록된 이메일 주소로 인증번호가 발송되는지 확인</t>
    <phoneticPr fontId="3" type="noConversion"/>
  </si>
  <si>
    <t>이름, 휴대폰 번호를 정상적으로 입력시 등록된 휴대폰 번호로 인증번호가 발송되는지 확인</t>
    <phoneticPr fontId="3" type="noConversion"/>
  </si>
  <si>
    <t>인증번호가 일치할 경우 성공페이지 팝업 노출
- 이름, 휴대폰 번호가 일치하는 아이디가 노출 되는지 확인</t>
    <phoneticPr fontId="3" type="noConversion"/>
  </si>
  <si>
    <t>본인인증 성공시 새비밀번호 입력 페이지가 노출 되는지 확인
- 본인인증 실패시 실패얼럿 노출</t>
    <phoneticPr fontId="3" type="noConversion"/>
  </si>
  <si>
    <r>
      <t xml:space="preserve">비밀번호 초기화 여부가 Y로 표시되는지 확인
- 비밀번호 변경기한이 변경되는지 확인
- 비밀번호 초기화 후 사용자 본인이  비밀번호를 변경한 경우’ </t>
    </r>
    <r>
      <rPr>
        <sz val="9"/>
        <color rgb="FFFF0000"/>
        <rFont val="맑은 고딕"/>
        <family val="3"/>
        <charset val="129"/>
        <scheme val="minor"/>
      </rPr>
      <t>Y-&gt;N으로 변경 되는지 확인</t>
    </r>
    <phoneticPr fontId="3" type="noConversion"/>
  </si>
  <si>
    <t xml:space="preserve"> 온라인회원, SNS회원 중 가입이 가능한 계정정보(핸드폰, 아이핀 인증이 가능한 사용자)</t>
    <phoneticPr fontId="3" type="noConversion"/>
  </si>
  <si>
    <t xml:space="preserve"> 통합멤버십회원, 온라인회원 가입이 가능한 계정정보(핸드폰, 아이핀 인증이 가능한 사용자)</t>
    <phoneticPr fontId="3" type="noConversion"/>
  </si>
  <si>
    <t xml:space="preserve"> 통합멤버십회원 중 임직원으로 등록안된 임직원의 계정</t>
    <phoneticPr fontId="3" type="noConversion"/>
  </si>
  <si>
    <t>임직원 인증</t>
    <phoneticPr fontId="3" type="noConversion"/>
  </si>
  <si>
    <t>임직원 인증 팝업창 노출</t>
    <phoneticPr fontId="3" type="noConversion"/>
  </si>
  <si>
    <t>정상 인증시 성공 팝업창 노출</t>
    <phoneticPr fontId="3" type="noConversion"/>
  </si>
  <si>
    <t>임직원 인증 성공</t>
    <phoneticPr fontId="3" type="noConversion"/>
  </si>
  <si>
    <t>임직원 인증 실패</t>
    <phoneticPr fontId="3" type="noConversion"/>
  </si>
  <si>
    <t>인증실패 팝업창 노출
- 3회 인증실패시 접근제한 팝업창 노출</t>
    <phoneticPr fontId="3" type="noConversion"/>
  </si>
  <si>
    <t>인증후 Footer변경 확인</t>
    <phoneticPr fontId="3" type="noConversion"/>
  </si>
  <si>
    <t>각 텍스트 및 링크가 정상적으로 동작하는지 확인</t>
    <phoneticPr fontId="3" type="noConversion"/>
  </si>
  <si>
    <t>임직원 정보 확인</t>
    <phoneticPr fontId="3" type="noConversion"/>
  </si>
  <si>
    <t>사번, 이번달 잔여한도, 부서/직책, 입사일/퇴사일이 정확히 표시되는지 확인</t>
    <phoneticPr fontId="3" type="noConversion"/>
  </si>
  <si>
    <t>임직원 인증 실패 확인</t>
    <phoneticPr fontId="3" type="noConversion"/>
  </si>
  <si>
    <t>임직원이 인증 실패시 실패 횟수 확인</t>
    <phoneticPr fontId="3" type="noConversion"/>
  </si>
  <si>
    <t>임직원 인증 실패 초기화</t>
    <phoneticPr fontId="3" type="noConversion"/>
  </si>
  <si>
    <t>실패횟수 0으로 변경 확인
- 초기화 여부 N-&gt;Y로 확인
- 사용자 인증 완료시 Y-&gt;N으로 변경 확인
- 최근 초기화 일시 날자 변경 확인</t>
    <phoneticPr fontId="3" type="noConversion"/>
  </si>
  <si>
    <t xml:space="preserve"> 기 가입된 회원 계정</t>
    <phoneticPr fontId="3" type="noConversion"/>
  </si>
  <si>
    <t>FO</t>
    <phoneticPr fontId="3" type="noConversion"/>
  </si>
  <si>
    <t>중</t>
    <phoneticPr fontId="3" type="noConversion"/>
  </si>
  <si>
    <t>비밀번호 확인</t>
    <phoneticPr fontId="3" type="noConversion"/>
  </si>
  <si>
    <t>상</t>
    <phoneticPr fontId="3" type="noConversion"/>
  </si>
  <si>
    <t>비밀번호 재확인 페이지 노출</t>
    <phoneticPr fontId="3" type="noConversion"/>
  </si>
  <si>
    <t>비밀번호 입력</t>
    <phoneticPr fontId="3" type="noConversion"/>
  </si>
  <si>
    <t>비밀번호를 정확히 입력시 탈퇴 페이지로 이동</t>
    <phoneticPr fontId="3" type="noConversion"/>
  </si>
  <si>
    <t>정상 탈퇴</t>
    <phoneticPr fontId="3" type="noConversion"/>
  </si>
  <si>
    <t>탈퇴불가 사유별 확인</t>
    <phoneticPr fontId="3" type="noConversion"/>
  </si>
  <si>
    <t>탈퇴 재확인</t>
    <phoneticPr fontId="3" type="noConversion"/>
  </si>
  <si>
    <t>탈퇴불가 조건이 아닌 경우 탈퇴 완료 후 탈퇴 완료 페이지로 이동
- 탈퇴불가조건 : 주문중, AS신청, 클래임, 
- 탈퇴 Y/N 재확인 : 입금대기상태, 기프트카드존재</t>
    <phoneticPr fontId="3" type="noConversion"/>
  </si>
  <si>
    <t>탈퇴완료 후 FO 확인 사항</t>
    <phoneticPr fontId="3" type="noConversion"/>
  </si>
  <si>
    <t>BO</t>
    <phoneticPr fontId="3" type="noConversion"/>
  </si>
  <si>
    <t>탈퇴불가 페이지 이동
- 주문중 상태 메시지 노출 확인</t>
    <phoneticPr fontId="3" type="noConversion"/>
  </si>
  <si>
    <t>탈퇴불가 페이지 이동
- AS신청중 상태 메시지 노출 확인</t>
    <phoneticPr fontId="3" type="noConversion"/>
  </si>
  <si>
    <t>탈퇴불가 페이지 이동
- 클래임 진행중 상태 메시지 노출 확인</t>
    <phoneticPr fontId="3" type="noConversion"/>
  </si>
  <si>
    <t xml:space="preserve"> 통합멤버십회원, 온라인회원 계정별 휴대폰번호, 이메일이 정상적으로 등록된 계정</t>
    <phoneticPr fontId="3" type="noConversion"/>
  </si>
  <si>
    <t xml:space="preserve"> 통합멤버십회원, 온라인회원, SNS회원(페이스북, 네이버, 카카오) 계정별 로그인이 가능한 ID, PW</t>
    <phoneticPr fontId="3" type="noConversion"/>
  </si>
  <si>
    <t>탈퇴회원의 정보 확인</t>
    <phoneticPr fontId="3" type="noConversion"/>
  </si>
  <si>
    <t>- 탈퇴 이메일 발송 확인
- 14일 이내 재가입 불가 확인
- 재가입시 이전 아이디 가입불가 확인
- SNS연동 해제 확인</t>
    <phoneticPr fontId="3" type="noConversion"/>
  </si>
  <si>
    <t>휴면예정회원</t>
    <phoneticPr fontId="3" type="noConversion"/>
  </si>
  <si>
    <t>휴면 예정회원 조회</t>
    <phoneticPr fontId="3" type="noConversion"/>
  </si>
  <si>
    <t>마지막 로그인 후 11~12개월 이상 지난 회원이 조회됨
- 휴면예정에게 휴면예정 메일이 발송되었는지 확인</t>
    <phoneticPr fontId="3" type="noConversion"/>
  </si>
  <si>
    <t>휴면 예정회원 자동 탈퇴</t>
    <phoneticPr fontId="3" type="noConversion"/>
  </si>
  <si>
    <t>마지막 로그인 후 13개월이 지난 회원이 조회되지 않음
- 탈퇴회원으로 전환
- 해당 계정으로 로그인 불가 확인</t>
    <phoneticPr fontId="3" type="noConversion"/>
  </si>
  <si>
    <t>휴면 예정회원 자동 탈퇴후 정보 확인</t>
    <phoneticPr fontId="3" type="noConversion"/>
  </si>
  <si>
    <t>탈퇴회원의 문의 및 후기 정보는 마스킹 처리(회원정보)되어 표시되는지 확인</t>
    <phoneticPr fontId="3" type="noConversion"/>
  </si>
  <si>
    <t>탈퇴 재확인 얼럿 노출
- 보유 기프트 카드 번호 노출
[취소] 현화면 유지
[확인] 회원탈퇴 완료 화면으로 이동</t>
    <phoneticPr fontId="3" type="noConversion"/>
  </si>
  <si>
    <t>탈퇴 재확인 얼럿 노출
[취소] 현화면 유지
[확인] 회원탈퇴 완료 화면으로 이동</t>
    <phoneticPr fontId="3" type="noConversion"/>
  </si>
  <si>
    <t xml:space="preserve">휴면예정회원의 자동 탈퇴시
탈퇴회원 정보확인 항목들의 사항이 동일하게 적용되는지 확인 </t>
    <phoneticPr fontId="3" type="noConversion"/>
  </si>
  <si>
    <t>박주희 차장</t>
    <phoneticPr fontId="3" type="noConversion"/>
  </si>
  <si>
    <t>박주희</t>
    <phoneticPr fontId="3" type="noConversion"/>
  </si>
  <si>
    <t>No.</t>
    <phoneticPr fontId="24" type="noConversion"/>
  </si>
  <si>
    <t>회원가입 버튼 선택</t>
  </si>
  <si>
    <t>필드 정보 입력 후 회원가입 선택, 완료 페이지로 이동 확인</t>
  </si>
  <si>
    <t>필드 정보 입력 후 회원전환 선택 &gt; 완료 페이지로 이동 확인</t>
  </si>
  <si>
    <t>비밀번호 초기화 버튼 선택</t>
  </si>
  <si>
    <t>No.</t>
  </si>
  <si>
    <t>프로세스</t>
  </si>
  <si>
    <t>시나리오 ID</t>
  </si>
  <si>
    <t>시나리오명</t>
  </si>
  <si>
    <t>회원가입</t>
  </si>
  <si>
    <t>회원전환</t>
  </si>
  <si>
    <t xml:space="preserve"> ABC_04.설계_03.프로세스정의서_01.회원_20190425_v1.10.pptx
 ABC_04.설계_02.화면설계서_FO_02.회원_20190502_v1.10.pptx
 ABC_04.설계_02.화면설계서_MO_02.회원_20190502_v1.02.pptx
 ABC_04.설계_02.화면설계서_BO_01_회원_20190429_v2.02.pptx</t>
  </si>
  <si>
    <t xml:space="preserve"> ABC_04.설계_03.프로세스정의서_01.회원_20190425_v1.10.pptx
 ABC_04.설계_02.화면설계서_FO_06_마이페이지_20190418_v1.06.pptx
 ABC_04.설계_02.화면설계서_MO_06.마이페이지_20190327_v1.00.pptx
 ABC_04.설계_02.화면설계서_BO_01_회원_20190429_v2.02.pptx</t>
    <phoneticPr fontId="3" type="noConversion"/>
  </si>
  <si>
    <t xml:space="preserve"> ABC_04.설계_03.프로세스정의서_01.회원_20190425_v1.10.pptx.pptx
 ABC_04.설계_02.화면설계서_FO_02.회원_20190502_v1.10.pptx 
 ABC_04.설계_02.화면설계서_MO_02.회원_20190502_v1.02.pptx
 ABC_04.설계_02.화면설계서_BO_01_회원_20190429_v2.02.pptx</t>
    <phoneticPr fontId="3" type="noConversion"/>
  </si>
  <si>
    <t>참조
문서</t>
    <phoneticPr fontId="3" type="noConversion"/>
  </si>
  <si>
    <r>
      <t>탈퇴회원이 조회되지 않음
 - 회원정보, 기프트카드, 문의, 상품후기, 상품Q&amp;A, 보유쿠폰, 보유 포인트 삭제 확인</t>
    </r>
    <r>
      <rPr>
        <sz val="9"/>
        <color rgb="FFFF0000"/>
        <rFont val="맑은 고딕"/>
        <family val="3"/>
        <charset val="129"/>
      </rPr>
      <t>(DB 확인 필요?)</t>
    </r>
    <phoneticPr fontId="3" type="noConversion"/>
  </si>
  <si>
    <r>
      <t xml:space="preserve">탈퇴회원의 AS, 문의, 상품Q&amp;A, 이벤트내역 정보가 남겨져 있는지 확인
- 탈퇴한 회원의 계정이 구분되어 표시되는지 확인
</t>
    </r>
    <r>
      <rPr>
        <sz val="9"/>
        <color rgb="FFFF0000"/>
        <rFont val="맑은 고딕"/>
        <family val="3"/>
        <charset val="129"/>
      </rPr>
      <t>- 문의정보는 3년간 보유</t>
    </r>
    <r>
      <rPr>
        <sz val="9"/>
        <color rgb="FF000000"/>
        <rFont val="맑은 고딕"/>
        <family val="3"/>
        <charset val="129"/>
      </rPr>
      <t xml:space="preserve">
</t>
    </r>
    <r>
      <rPr>
        <sz val="9"/>
        <color rgb="FFFF0000"/>
        <rFont val="맑은 고딕"/>
        <family val="3"/>
        <charset val="129"/>
      </rPr>
      <t>- 이벤트내역은 N일간 보유
(이벤트 참여내역 보유기간에 대한 정책 없음)</t>
    </r>
    <phoneticPr fontId="3" type="noConversion"/>
  </si>
  <si>
    <r>
      <t xml:space="preserve">탈퇴회원의 거래정보가 남겨져 있는지 확인(기프트카드, 쿠폰, 포인트 등 할인수단 내역 포함)
- 탈퇴한 회원의 계정이 주문관리에서 구분되어 표시되는지 확인
</t>
    </r>
    <r>
      <rPr>
        <sz val="9"/>
        <color rgb="FFFF0000"/>
        <rFont val="맑은 고딕"/>
        <family val="3"/>
        <charset val="129"/>
      </rPr>
      <t>- 거래정보는 5년간 보유</t>
    </r>
    <phoneticPr fontId="3" type="noConversion"/>
  </si>
  <si>
    <r>
      <t xml:space="preserve">탈퇴회원의 매출/정산/통계가 남겨져 있는지 확인
</t>
    </r>
    <r>
      <rPr>
        <sz val="9"/>
        <color rgb="FFFF0000"/>
        <rFont val="맑은 고딕"/>
        <family val="3"/>
        <charset val="129"/>
      </rPr>
      <t>- 거래정보는 5년간 보유</t>
    </r>
    <phoneticPr fontId="3" type="noConversion"/>
  </si>
  <si>
    <r>
      <t xml:space="preserve">탈퇴회원의 구매(충전내역)이 남겨져 있는지 확인
</t>
    </r>
    <r>
      <rPr>
        <sz val="9"/>
        <color rgb="FFFF0000"/>
        <rFont val="맑은 고딕"/>
        <family val="3"/>
        <charset val="129"/>
      </rPr>
      <t>- 거래정보는 5년간 보유</t>
    </r>
    <phoneticPr fontId="3" type="noConversion"/>
  </si>
  <si>
    <t>비밀번호, 이메일은 조합 양식 입력 확인</t>
    <phoneticPr fontId="3" type="noConversion"/>
  </si>
  <si>
    <t>필드 정보 입력 후 회원가입 버튼 선택 시 완료 페이지로 이동 확인</t>
    <phoneticPr fontId="3" type="noConversion"/>
  </si>
  <si>
    <t>인증 정보입력</t>
  </si>
  <si>
    <t>정상 인증 후 하단에 인증이 완료  확인</t>
  </si>
  <si>
    <t>정상적으로 인증후 하단에 인증 정보(이름/생년월일/휴대폰번호)가 입력되는지 확인
- 기존 아이디와 이메일을 정확하게 불러오는지 확인</t>
  </si>
  <si>
    <t>정상적으로 인증후 하단에 인증 정보(이름/생년월일/휴대폰번호)가 입력되는지 확인</t>
  </si>
  <si>
    <t>가입회원정보  정상출력 확인 
- 회원기본정보, 회원부가정보, 회원 활동정보, 회원 구매활동정보, 블랙리스트, 관리자메모</t>
    <phoneticPr fontId="3" type="noConversion"/>
  </si>
  <si>
    <t>정상 인증 후 하단에 인증 정보 입력 확인
- 이름/생년월일/휴대폰번호</t>
    <phoneticPr fontId="3" type="noConversion"/>
  </si>
  <si>
    <t>신규 가입한 아이디/비밀번호로 로그인  확인
- 통합멤버십회원 등급 확인</t>
    <phoneticPr fontId="3" type="noConversion"/>
  </si>
  <si>
    <t>신규 가입한 아이디/비밀번호로 로그인  확인
- 온라인회원 등급 확인</t>
    <phoneticPr fontId="3" type="noConversion"/>
  </si>
  <si>
    <t>A-RT</t>
    <phoneticPr fontId="3" type="noConversion"/>
  </si>
  <si>
    <t>1. 회원가입 &gt; 약관동의
2. 휴대폰 인증 선택</t>
    <phoneticPr fontId="3" type="noConversion"/>
  </si>
  <si>
    <t>1. 회원가입 &gt; 약관동의
2. 아이핀 인증 선택</t>
    <phoneticPr fontId="3" type="noConversion"/>
  </si>
  <si>
    <t>1. 회원가입 버튼선택
- 통합멤버십</t>
    <phoneticPr fontId="3" type="noConversion"/>
  </si>
  <si>
    <t>1. 회원가입 &gt; 약관동의 &gt; 인증 &gt; 정보입력
2. 각 필드 입력 항목에 텍스트 입력</t>
    <phoneticPr fontId="3" type="noConversion"/>
  </si>
  <si>
    <t>1. 회원가입 &gt; 약관동의 &gt; 인증 &gt; 회원정보입력
2. 아이디/이메일 중복체크 확인</t>
    <phoneticPr fontId="3" type="noConversion"/>
  </si>
  <si>
    <t>1. 회원가입 &gt; 약관동의 &gt; 인증 &gt; 회원정보입력
2. 회원가입 완료 버튼 선택</t>
    <phoneticPr fontId="3" type="noConversion"/>
  </si>
  <si>
    <t>1. 회원가입 &gt; 약관동의 &gt; 인증 &gt; 회원정보입력
2. 회원가입 완료 &gt; 로그인</t>
    <phoneticPr fontId="3" type="noConversion"/>
  </si>
  <si>
    <t>1. 회원가입 &gt; 약관동의
2. 약관동의 체크
3. 하단 인증 버튼 선택</t>
    <phoneticPr fontId="3" type="noConversion"/>
  </si>
  <si>
    <t>1. 회원가입 &gt; 약관동의 &gt; 정보입력
2. 각 필드 입력 항목에 텍스트 입력</t>
    <phoneticPr fontId="3" type="noConversion"/>
  </si>
  <si>
    <t>아이핀 인증시 하단 휴대폰 인증 확인</t>
    <phoneticPr fontId="3" type="noConversion"/>
  </si>
  <si>
    <t>1. 회원가입 &gt; 약관동의 &gt; 정보입력
2. 휴대폰 인증 선택</t>
    <phoneticPr fontId="3" type="noConversion"/>
  </si>
  <si>
    <t>1. 회원가입 &gt; 약관동의 &gt; 정보입력
2. 회원가입 완료</t>
    <phoneticPr fontId="3" type="noConversion"/>
  </si>
  <si>
    <t>통합멤버십 회원 아이디 비밀번호 입력</t>
    <phoneticPr fontId="3" type="noConversion"/>
  </si>
  <si>
    <t>온라인 회원 아이디 비밀번호 입력</t>
    <phoneticPr fontId="3" type="noConversion"/>
  </si>
  <si>
    <t>회원관리</t>
  </si>
  <si>
    <t>가입된 통합멤버십 회원 정보 확인</t>
    <phoneticPr fontId="3" type="noConversion"/>
  </si>
  <si>
    <t>가입된 온라인 회원 정보 확인</t>
    <phoneticPr fontId="3" type="noConversion"/>
  </si>
  <si>
    <t>OTS</t>
    <phoneticPr fontId="3" type="noConversion"/>
  </si>
  <si>
    <t>각 버튼 기능이 정상 동작 확인
- 회원이력, 비밀번호 초기화, 휴대폰번호 인증번호발송, 계좌인증 버튼 선택</t>
    <phoneticPr fontId="3" type="noConversion"/>
  </si>
  <si>
    <t>[통합멤버십] 회원가입</t>
    <phoneticPr fontId="3" type="noConversion"/>
  </si>
  <si>
    <t>[통합멤버십] 약관동의</t>
    <phoneticPr fontId="3" type="noConversion"/>
  </si>
  <si>
    <t>[통합멤버십] 인증</t>
    <phoneticPr fontId="3" type="noConversion"/>
  </si>
  <si>
    <t>[통합멤버십] 회원정보입력</t>
    <phoneticPr fontId="3" type="noConversion"/>
  </si>
  <si>
    <t>[통합멤버십] 아이디/이메일 중복체크</t>
    <phoneticPr fontId="3" type="noConversion"/>
  </si>
  <si>
    <t>[통합멤버십] 가입축하 메일발송</t>
    <phoneticPr fontId="3" type="noConversion"/>
  </si>
  <si>
    <t>[통합멤버십] 쇼핑몰 로그인</t>
    <phoneticPr fontId="3" type="noConversion"/>
  </si>
  <si>
    <t>[온라인회원] 회원가입</t>
    <phoneticPr fontId="3" type="noConversion"/>
  </si>
  <si>
    <t>[온라인회원] 약관동의</t>
    <phoneticPr fontId="3" type="noConversion"/>
  </si>
  <si>
    <t>1. 회원가입 버튼선택
- 온라인회원</t>
    <phoneticPr fontId="3" type="noConversion"/>
  </si>
  <si>
    <t>[온라인회원] 회원정보입력</t>
    <phoneticPr fontId="3" type="noConversion"/>
  </si>
  <si>
    <t>[온라인회원] 휴대폰 인증</t>
    <phoneticPr fontId="3" type="noConversion"/>
  </si>
  <si>
    <t>[온라인회원] 가입축하 메일발송</t>
    <phoneticPr fontId="3" type="noConversion"/>
  </si>
  <si>
    <t>[온라인회원] 쇼핑몰 로그인</t>
    <phoneticPr fontId="3" type="noConversion"/>
  </si>
  <si>
    <t>IT-MB-001-002</t>
  </si>
  <si>
    <t>IT-MB-001-003</t>
  </si>
  <si>
    <t>IT-MB-001-004</t>
  </si>
  <si>
    <t>IT-MB-001-005</t>
  </si>
  <si>
    <t>IT-MB-001-006</t>
  </si>
  <si>
    <t>IT-MB-001-007</t>
  </si>
  <si>
    <t>IT-MB-001-008</t>
  </si>
  <si>
    <t>IT-MB-001-009</t>
  </si>
  <si>
    <t>IT-MB-001-010</t>
  </si>
  <si>
    <t>IT-MB-001-011</t>
  </si>
  <si>
    <t>IT-MB-001-012</t>
  </si>
  <si>
    <t>IT-MB-001-013</t>
  </si>
  <si>
    <t>IT-MB-001-027</t>
  </si>
  <si>
    <t>IT-MB-001-028</t>
  </si>
  <si>
    <t>IT-MB-001-029</t>
  </si>
  <si>
    <t>IT-MB-001-030</t>
  </si>
  <si>
    <t>IT-MB-001-031</t>
  </si>
  <si>
    <t>IT-MB-001-032</t>
  </si>
  <si>
    <t>IT-MB-001-014</t>
  </si>
  <si>
    <t>IT-MB-001-015</t>
  </si>
  <si>
    <t>IT-MB-001-016</t>
  </si>
  <si>
    <t>IT-MB-001-017</t>
  </si>
  <si>
    <t>IT-MB-001-018</t>
  </si>
  <si>
    <t>IT-MB-001-019</t>
  </si>
  <si>
    <t>IT-MB-001-020</t>
  </si>
  <si>
    <t>IT-MB-001-021</t>
  </si>
  <si>
    <t>IT-MB-001-022</t>
  </si>
  <si>
    <t>IT-MB-001-023</t>
  </si>
  <si>
    <t>IT-MB-001-024</t>
  </si>
  <si>
    <t>IT-MB-001-025</t>
  </si>
  <si>
    <t>IT-MB-001-026</t>
  </si>
  <si>
    <t>IT-MB-003-031</t>
  </si>
  <si>
    <t>IT-MB-005-026</t>
  </si>
  <si>
    <t>IT-MB-001-033</t>
  </si>
  <si>
    <t>IT-MB-001-034</t>
  </si>
  <si>
    <t>IT-MB-001-035</t>
  </si>
  <si>
    <t>IT-MB-001-036</t>
  </si>
  <si>
    <t>IT-MB-001-037</t>
  </si>
  <si>
    <t>IT-MB-001-038</t>
  </si>
  <si>
    <t>IT-MB-001-039</t>
  </si>
  <si>
    <t>IT-MB-001-040</t>
  </si>
  <si>
    <t>IT-MB-001-041</t>
  </si>
  <si>
    <t>IT-MB-001-042</t>
  </si>
  <si>
    <t>IT-MB-001-043</t>
  </si>
  <si>
    <t>IT-MB-001-044</t>
  </si>
  <si>
    <t>IT-MB-001-045</t>
  </si>
  <si>
    <t>IT-MB-001-046</t>
  </si>
  <si>
    <t>IT-MB-001-047</t>
  </si>
  <si>
    <t>IT-MB-001-048</t>
  </si>
  <si>
    <t>IT-MB-001-049</t>
  </si>
  <si>
    <t>IT-MB-001-050</t>
  </si>
  <si>
    <t>IT-MB-001-051</t>
  </si>
  <si>
    <t>IT-MB-001-052</t>
  </si>
  <si>
    <t>IT-MB-001-053</t>
  </si>
  <si>
    <t>IT-MB-001-054</t>
  </si>
  <si>
    <t>IT-MB-001-055</t>
  </si>
  <si>
    <t>IT-MB-001-056</t>
  </si>
  <si>
    <t>IT-MB-001-057</t>
  </si>
  <si>
    <t>IT-MB-001-058</t>
  </si>
  <si>
    <t>IT-MB-001-059</t>
  </si>
  <si>
    <t>IT-MB-001-060</t>
  </si>
  <si>
    <t>IT-MB-001-061</t>
  </si>
  <si>
    <t>IT-MB-001-062</t>
  </si>
  <si>
    <t>IT-MB-001-063</t>
  </si>
  <si>
    <t>IT-MB-001-064</t>
  </si>
  <si>
    <t>IT-MB-002-001</t>
    <phoneticPr fontId="3" type="noConversion"/>
  </si>
  <si>
    <t>IT-MB-002-002</t>
  </si>
  <si>
    <t>IT-MB-002-003</t>
  </si>
  <si>
    <t>IT-MB-002-004</t>
  </si>
  <si>
    <t>IT-MB-002-005</t>
  </si>
  <si>
    <t>IT-MB-002-006</t>
  </si>
  <si>
    <t>IT-MB-001-001</t>
    <phoneticPr fontId="3" type="noConversion"/>
  </si>
  <si>
    <t>1. 회원가입 (IT-MB-001)
 - 통합멤버십회원 : 1 &gt; 2 &gt; 3 &gt; 4 &gt; 5 &gt; 6 &gt; 7 &gt; 8 &gt; 9
 - 온라인회원       : 10 &gt; 11 &gt; 12 &gt; 13 &gt; 14 &gt; 15 &gt; 16 &gt; 17
2. 회원관리 (IT-MB-002)</t>
    <phoneticPr fontId="3" type="noConversion"/>
  </si>
  <si>
    <t>아이디/이메일 입력</t>
    <phoneticPr fontId="3" type="noConversion"/>
  </si>
  <si>
    <t>1. 회원가입 &gt; 약관동의 &gt; 인증 &gt; 회원정보입력
2. 회원가입 버튼 선택</t>
    <phoneticPr fontId="3" type="noConversion"/>
  </si>
  <si>
    <t>회원 전환</t>
    <phoneticPr fontId="3" type="noConversion"/>
  </si>
  <si>
    <t xml:space="preserve">회원전환
[멤버십회원 &gt; 통합멤버십] </t>
    <phoneticPr fontId="3" type="noConversion"/>
  </si>
  <si>
    <t>회원전환
[SNS,온라인회원 &gt; 통합멤버십]</t>
    <phoneticPr fontId="3" type="noConversion"/>
  </si>
  <si>
    <t>인증</t>
    <phoneticPr fontId="3" type="noConversion"/>
  </si>
  <si>
    <t>전환 메일 발송</t>
    <phoneticPr fontId="3" type="noConversion"/>
  </si>
  <si>
    <t xml:space="preserve">회원전환
[SNS &gt; 온라인회원] </t>
    <phoneticPr fontId="3" type="noConversion"/>
  </si>
  <si>
    <t>1. 멤버십회원 로그인 &gt; 회원전환 팝업창
2. 통합멤버십회원 전환 버튼 선택</t>
    <phoneticPr fontId="3" type="noConversion"/>
  </si>
  <si>
    <t>1. 로그인
2. 전환된 통합멤버십회원 아이디 비밀번호 입력</t>
    <phoneticPr fontId="3" type="noConversion"/>
  </si>
  <si>
    <t>1. SNS, 온라인회원 로그인 &gt; 회원전환 팝업창
2. 통합멤버십회원 전환 선택</t>
    <phoneticPr fontId="3" type="noConversion"/>
  </si>
  <si>
    <t>1. 회원 전환 페이지
2. 약관동의 체크후 하단 회원전환 버튼 선택</t>
    <phoneticPr fontId="3" type="noConversion"/>
  </si>
  <si>
    <t>1. 회원 전환 페이지
2. 하단 회원전환 버튼 선택</t>
    <phoneticPr fontId="3" type="noConversion"/>
  </si>
  <si>
    <t>1. 회원 전환 페이지
2. 휴대폰 인증 선택</t>
    <phoneticPr fontId="3" type="noConversion"/>
  </si>
  <si>
    <t>1. 회원 전환 페이지
2. 아이핀 인증 선택</t>
    <phoneticPr fontId="3" type="noConversion"/>
  </si>
  <si>
    <t>1. 회원 전환 페이지
2. 각 필드 입력 항목에 텍스트 입력</t>
    <phoneticPr fontId="3" type="noConversion"/>
  </si>
  <si>
    <t>정상적으로 인증후 하단에 인증이 완료 확인
- 아이핀 인증시 하단 휴대폰 인증 확인
- 기존 아이디와 이메일을 정확하게 불러오는지 확인</t>
    <phoneticPr fontId="3" type="noConversion"/>
  </si>
  <si>
    <t>1. SNS 로그인 &gt; 회원전환 팝업창
2. 온라인회원 전환 선택</t>
    <phoneticPr fontId="3" type="noConversion"/>
  </si>
  <si>
    <t>1. 로그인
2. 전환된 온라인회원 아이디 비밀번호 입력</t>
    <phoneticPr fontId="3" type="noConversion"/>
  </si>
  <si>
    <t>사이트</t>
    <phoneticPr fontId="3" type="noConversion"/>
  </si>
  <si>
    <t>1. 회원관리 &gt; 회원목록
2. 통합멤버십회원 검색 &gt; 회원선택</t>
  </si>
  <si>
    <t>1. 회원관리 &gt; 회원목록
2. 온라인 회원검색 &gt; 회원선택</t>
  </si>
  <si>
    <t>1. 회원관리 &gt; 회원목록
2. 회원상세정보 수정</t>
  </si>
  <si>
    <t>1. 회원관리 &gt; 회원목록
2. 회원상세정보 부가기능 확인</t>
  </si>
  <si>
    <t>1. 회원관리 &gt; 회원목록
2. 회원상세정보 조회 &gt; 회원선택</t>
    <phoneticPr fontId="3" type="noConversion"/>
  </si>
  <si>
    <t>1. 회원관리 &gt; 회원목록
2. 통합멤버십회원 검색</t>
    <phoneticPr fontId="3" type="noConversion"/>
  </si>
  <si>
    <t>통합멤버십 전환고객 확인</t>
    <phoneticPr fontId="3" type="noConversion"/>
  </si>
  <si>
    <t>통합멤버십으로 전환된 회원 정보 확인</t>
    <phoneticPr fontId="3" type="noConversion"/>
  </si>
  <si>
    <t>1. 회원관리 &gt; 회원목록
2. 온라인 회원 검색</t>
    <phoneticPr fontId="3" type="noConversion"/>
  </si>
  <si>
    <t>온라인회원으로 전환된 회원 정보 확인</t>
    <phoneticPr fontId="3" type="noConversion"/>
  </si>
  <si>
    <t>로그인 페이지</t>
    <phoneticPr fontId="3" type="noConversion"/>
  </si>
  <si>
    <t>1. 로그인 페이지 
2. 각 버튼 링크 확인
- 회원로그인탭, 비회원 주문조회, 페이스북로그인, 네이버로그인, 카카오로그인, 아이디찾기, 비밀번호찾기, 회원가입, 비회원 주문 버튼 선택</t>
    <phoneticPr fontId="3" type="noConversion"/>
  </si>
  <si>
    <t>통합멤버십회원 ID, PW 입력</t>
    <phoneticPr fontId="3" type="noConversion"/>
  </si>
  <si>
    <t>1. 로그인 페이지 
2. 통합멤버십회원 로그인 확인</t>
    <phoneticPr fontId="3" type="noConversion"/>
  </si>
  <si>
    <t>1. 로그인 페이지 
2. 멤버십회원 로그인 확인</t>
    <phoneticPr fontId="3" type="noConversion"/>
  </si>
  <si>
    <t>1. 로그인 페이지 
2. 온라인회원 로그인 확인</t>
    <phoneticPr fontId="3" type="noConversion"/>
  </si>
  <si>
    <t>온라인회원 ID, PW 입력</t>
    <phoneticPr fontId="3" type="noConversion"/>
  </si>
  <si>
    <t>로그인 후 로그인 이전 페이지 이동(예 : 장바구니페이지에서 로그인 완료후 장바구니페이지로 이동)</t>
    <phoneticPr fontId="3" type="noConversion"/>
  </si>
  <si>
    <t>멤버십회원인 경우 회원전환 페이지 팝업 노출
- 로그인 후 로그인 이전 페이지 이동 확인</t>
    <phoneticPr fontId="3" type="noConversion"/>
  </si>
  <si>
    <t>온라인회원인 경우 회원전환 페이지 팝업 노출
- 로그인 후 로그인 이전 페이지 이동 확인</t>
    <phoneticPr fontId="3" type="noConversion"/>
  </si>
  <si>
    <t>1. 로그인 페이지 
2. 탈퇴회원 로그인 확인
- 회원 구분별 ID, PW 입력 후 탈퇴회원 안내 확인</t>
    <phoneticPr fontId="3" type="noConversion"/>
  </si>
  <si>
    <t>비밀번호 오류</t>
    <phoneticPr fontId="3" type="noConversion"/>
  </si>
  <si>
    <t>비밀번호 변경이력 확인</t>
    <phoneticPr fontId="3" type="noConversion"/>
  </si>
  <si>
    <t>1. 로그인 페이지 
2. PW 오류 로그인 확인</t>
    <phoneticPr fontId="3" type="noConversion"/>
  </si>
  <si>
    <t>N일내 비밀번호 변경이력이 없는 회원의 ID, PW 입력</t>
    <phoneticPr fontId="3" type="noConversion"/>
  </si>
  <si>
    <t>1. 로그인 페이지 
2. N일내 비밀번호 변경이력이 없는 회원의 로그인 확인</t>
    <phoneticPr fontId="3" type="noConversion"/>
  </si>
  <si>
    <t>1. 로그인 페이지 
2. 아이디 저장 체크 후 로그아웃 뒤에 재 로그인</t>
    <phoneticPr fontId="3" type="noConversion"/>
  </si>
  <si>
    <t>1. 로그인 페이지 
2. 로그인 후 2시간 경과시 자동로그아웃 확인</t>
    <phoneticPr fontId="3" type="noConversion"/>
  </si>
  <si>
    <t>로그인</t>
  </si>
  <si>
    <t>로그인</t>
    <phoneticPr fontId="3" type="noConversion"/>
  </si>
  <si>
    <t>IT-MB-003-001</t>
  </si>
  <si>
    <t>1. BO &gt; 조건날짜관리에 날짜 입력
2. 로그인 페이지 &gt; 로그인완료 
3. 비밀번호 변경 이력 N일 확인</t>
    <phoneticPr fontId="3" type="noConversion"/>
  </si>
  <si>
    <t>비밀번호 변경이력 N일이 BO 조건날짜관리에서 입력한대로 정확히 표시되는지 확인
- BO에서 90일로 체크시 90일 이후 로그인 회원은 비밀번호 변경 팝업 노출</t>
    <phoneticPr fontId="3" type="noConversion"/>
  </si>
  <si>
    <t>1. BO &gt; 조건날짜관리에 날짜 입력
2. 로그인 페이지 &gt; 로그인완료 
3. 다음에변경, 지금변경 버튼 선택</t>
    <phoneticPr fontId="3" type="noConversion"/>
  </si>
  <si>
    <t>다음에 변경 버튼 : 창닫힘
지금변경: 비밀번호 변경 페이지로 이동</t>
    <phoneticPr fontId="3" type="noConversion"/>
  </si>
  <si>
    <t>1. 로그인 페이지 
2. 페이스북로그인, 네이버로그인, 카카오로그인 버튼 선택</t>
    <phoneticPr fontId="3" type="noConversion"/>
  </si>
  <si>
    <t>정상 로그인 후 로그인 이전 페이지 이동(예 : 장바구니페이지에서 로그인 완료후 장바구니페이지로 이동)
- 멤버십회원, 온라인회원은 회원전환 페이지 팝업 노출</t>
    <phoneticPr fontId="3" type="noConversion"/>
  </si>
  <si>
    <t>기존아이디 SNS 계정연결 확인</t>
    <phoneticPr fontId="3" type="noConversion"/>
  </si>
  <si>
    <t>신규가입 후 연결 SNS 계정연결 확인</t>
    <phoneticPr fontId="3" type="noConversion"/>
  </si>
  <si>
    <t>1. 로그인 페이지
2. 계정연결이 안된 페이스북로그인, 네이버로그인, 카카오로그인 
3. 기존아이디 연결 버튼 선택</t>
    <phoneticPr fontId="3" type="noConversion"/>
  </si>
  <si>
    <t>1. 로그인 페이지
2. 계정연결이 안된 페이스북로그인, 네이버로그인, 카카오로그인 
3. 신규가입 후 연결 버튼 선택</t>
    <phoneticPr fontId="3" type="noConversion"/>
  </si>
  <si>
    <t>1. BO &gt; 회원정보 &gt; 회원기본정보
2. 비밀번호 초기화 버튼 선택</t>
    <phoneticPr fontId="3" type="noConversion"/>
  </si>
  <si>
    <t>1. BO &gt; 회원정보 &gt; 회원기본정보
2. SNS연동 회원의 SNS 연동정보 확인</t>
    <phoneticPr fontId="3" type="noConversion"/>
  </si>
  <si>
    <t>IT-MB-003-002</t>
  </si>
  <si>
    <t>IT-MB-003-003</t>
  </si>
  <si>
    <t>IT-MB-003-004</t>
  </si>
  <si>
    <t>IT-MB-003-005</t>
  </si>
  <si>
    <t>IT-MB-003-006</t>
  </si>
  <si>
    <t>IT-MB-003-007</t>
  </si>
  <si>
    <t>IT-MB-003-008</t>
  </si>
  <si>
    <t>IT-MB-003-009</t>
  </si>
  <si>
    <t>IT-MB-003-010</t>
  </si>
  <si>
    <t>IT-MB-003-011</t>
  </si>
  <si>
    <t>IT-MB-003-012</t>
  </si>
  <si>
    <t>IT-MB-003-013</t>
  </si>
  <si>
    <t>IT-MB-003-014</t>
  </si>
  <si>
    <t>IT-MB-003-015</t>
  </si>
  <si>
    <t>IT-MB-003-016</t>
  </si>
  <si>
    <t>IT-MB-003-017</t>
  </si>
  <si>
    <t>IT-MB-003-018</t>
  </si>
  <si>
    <t>IT-MB-003-019</t>
  </si>
  <si>
    <t>IT-MB-003-020</t>
  </si>
  <si>
    <t>IT-MB-003-021</t>
  </si>
  <si>
    <t>IT-MB-003-022</t>
  </si>
  <si>
    <t>IT-MB-003-023</t>
  </si>
  <si>
    <t>IT-MB-003-024</t>
  </si>
  <si>
    <t>IT-MB-003-025</t>
  </si>
  <si>
    <t>IT-MB-003-026</t>
  </si>
  <si>
    <t>IT-MB-003-027</t>
  </si>
  <si>
    <t>IT-MB-003-028</t>
  </si>
  <si>
    <t>IT-MB-003-029</t>
  </si>
  <si>
    <t>IT-MB-003-030</t>
  </si>
  <si>
    <t>IT-MB-003-032</t>
  </si>
  <si>
    <t>IT-MB-003-033</t>
  </si>
  <si>
    <t>IT-MB-003-034</t>
  </si>
  <si>
    <t>IT-MB-003-035</t>
  </si>
  <si>
    <t>IT-MB-003-036</t>
  </si>
  <si>
    <t>IT-MB-003-037</t>
  </si>
  <si>
    <t>IT-MB-003-038</t>
  </si>
  <si>
    <t>IT-MB-003-039</t>
  </si>
  <si>
    <t>IT-MB-003-040</t>
  </si>
  <si>
    <t>IT-MB-003-041</t>
  </si>
  <si>
    <t>IT-MB-003-042</t>
  </si>
  <si>
    <t>IT-MB-003-043</t>
  </si>
  <si>
    <t>IT-MB-003-044</t>
  </si>
  <si>
    <t>IT-MB-003-045</t>
  </si>
  <si>
    <t>IT-MB-003-046</t>
  </si>
  <si>
    <t>IT-MB-003-047</t>
  </si>
  <si>
    <t>IT-MB-003-048</t>
  </si>
  <si>
    <t>IT-MB-003-049</t>
  </si>
  <si>
    <t>IT-MB-003-050</t>
  </si>
  <si>
    <t>IT-MB-003-051</t>
  </si>
  <si>
    <t>IT-MB-003-052</t>
  </si>
  <si>
    <t>IT-MB-003-053</t>
  </si>
  <si>
    <t>IT-MB-003-054</t>
  </si>
  <si>
    <t>IT-MB-003-055</t>
  </si>
  <si>
    <t>IT-MB-003-056</t>
  </si>
  <si>
    <t>IT-MB-003-057</t>
  </si>
  <si>
    <t>IT-MB-003-058</t>
  </si>
  <si>
    <t>IT-MB-003-059</t>
  </si>
  <si>
    <t>IT-MB-003-060</t>
  </si>
  <si>
    <t>IT-MB-003-061</t>
  </si>
  <si>
    <t>IT-MB-003-062</t>
  </si>
  <si>
    <t>IT-MB-003-063</t>
  </si>
  <si>
    <t>ID 찾기 페이지</t>
    <phoneticPr fontId="3" type="noConversion"/>
  </si>
  <si>
    <t>1. ID 찾기 페이지
2. 휴대폰 번호로 찾기, 이메일 주소로 찾기, 회원가입 버튼 선택</t>
    <phoneticPr fontId="3" type="noConversion"/>
  </si>
  <si>
    <t>1. ID 찾기 &gt; 이메일 주소로 찾기
2. 이름, 이메일주소 입력 후 인증번호 요청 선택</t>
    <phoneticPr fontId="3" type="noConversion"/>
  </si>
  <si>
    <t>1. ID 찾기 &gt; 이메일 주소로 찾기
2. 일치하지 않는 이름, 이메일주소 입력 후 인증번호 요청 선택</t>
    <phoneticPr fontId="3" type="noConversion"/>
  </si>
  <si>
    <t>1. ID 찾기 &gt; 이메일 주소로 찾기
2. 탈퇴후 14일 미만인 이름, 이메일주소 입력 후 인증번호 요청 선택</t>
    <phoneticPr fontId="3" type="noConversion"/>
  </si>
  <si>
    <t>1. ID 찾기 페이지 &gt; 이메일 주소로 찾기 &gt; 인증번호 입력
2. 인증번호 입력 후 확인 버튼 선택</t>
    <phoneticPr fontId="3" type="noConversion"/>
  </si>
  <si>
    <t>1. ID 찾기 &gt; 휴대폰 번호로 찾기
2. 이름, 휴대폰 번호 입력 후 인증번호 요청 선택</t>
    <phoneticPr fontId="3" type="noConversion"/>
  </si>
  <si>
    <t>1. ID 찾기 &gt; 휴대폰 번호로 찾기
2. 일치하지 않는 이름, 휴대폰 번호 입력 후 인증번호 요청 선택</t>
    <phoneticPr fontId="3" type="noConversion"/>
  </si>
  <si>
    <t>1. ID 찾기 &gt; 휴대폰 번호로 찾기
2. 탈퇴후 14일 미만인 이름, 휴대폰 번호 입력 후 인증번호 요청 선택</t>
    <phoneticPr fontId="3" type="noConversion"/>
  </si>
  <si>
    <t>1. ID 찾기 페이지 &gt; 휴대폰 번호로 찾기 &gt; 인증번호 입력
2. 인증번호 입력 후 확인 버튼 선택</t>
    <phoneticPr fontId="3" type="noConversion"/>
  </si>
  <si>
    <t>1. ID 찾기 페이지 &gt; ID찾기 성공
2. 로그인, 비밀번호 찾기 버튼 선택</t>
    <phoneticPr fontId="3" type="noConversion"/>
  </si>
  <si>
    <t>IT-MB-004-001</t>
  </si>
  <si>
    <t>이름, 이메일주소 입력</t>
    <phoneticPr fontId="3" type="noConversion"/>
  </si>
  <si>
    <t>인증번호 입력</t>
    <phoneticPr fontId="3" type="noConversion"/>
  </si>
  <si>
    <t>이름, 휴대폰 번호 입력</t>
    <phoneticPr fontId="3" type="noConversion"/>
  </si>
  <si>
    <t>ID 찾기</t>
  </si>
  <si>
    <t>IT-MB-005-001</t>
  </si>
  <si>
    <t>PW 찾기</t>
  </si>
  <si>
    <t>PW 찾기</t>
    <phoneticPr fontId="3" type="noConversion"/>
  </si>
  <si>
    <t>비밀번호 찾기 페이지</t>
    <phoneticPr fontId="3" type="noConversion"/>
  </si>
  <si>
    <t>1. PW 찾기 페이지
2. 휴대폰 번호로 찾기, 이메일 주소로 찾기, 본인인증으로 찾기, 아이디 찾기, 회원가입 버튼 선택</t>
    <phoneticPr fontId="3" type="noConversion"/>
  </si>
  <si>
    <t>1. PW 찾기 &gt; 휴대폰 번호로 찾기
2. 아이디, 이름, 휴대폰 번호 입력 후 인증번호 요청 선택</t>
    <phoneticPr fontId="3" type="noConversion"/>
  </si>
  <si>
    <t>1. PW 찾기 &gt; 휴대폰 번호로 찾기
2. 일치하지 않는 아이디, 이름, 휴대폰 번호 입력 후 인증번호 요청 선택</t>
    <phoneticPr fontId="3" type="noConversion"/>
  </si>
  <si>
    <t>1. PW 찾기 &gt; 휴대폰 번호로 찾기
2. 탈퇴후 14일 미만인 아이디, 이름, 휴대폰 번호 입력 후 인증번호 요청 선택</t>
    <phoneticPr fontId="3" type="noConversion"/>
  </si>
  <si>
    <t>1. PW 찾기 &gt; 휴대폰 번호로 찾기 &gt; 인증번호 입력
2. 인증번호 입력 후 확인 버튼 선택</t>
    <phoneticPr fontId="3" type="noConversion"/>
  </si>
  <si>
    <t>1. PW 찾기 &gt; 이메일 주소로 찾기
2. 아이디, 이름, 이메일주소 입력 후 인증번호 요청 선택</t>
    <phoneticPr fontId="3" type="noConversion"/>
  </si>
  <si>
    <t>1. PW 찾기 &gt; 이메일 주소로 찾기
2. 일치하지 않는 아이디, 이름, 이메일주소 입력 후 인증번호 요청 선택</t>
    <phoneticPr fontId="3" type="noConversion"/>
  </si>
  <si>
    <t>1. PW 찾기 &gt; 이메일 주소로 찾기
2. 탈퇴후 14일 미만인 아이디, 이름, 이메일주소 입력 후 인증번호 요청 선택</t>
    <phoneticPr fontId="3" type="noConversion"/>
  </si>
  <si>
    <t>1. PW 찾기 &gt; 이메일 주소로 찾기 &gt; 인증번호 입력
2. 인증번호 입력 후 확인 버튼 선택</t>
    <phoneticPr fontId="3" type="noConversion"/>
  </si>
  <si>
    <t>1. PW 찾기 &gt; 본인인증으로 찾기
2. 아이디입력 후 휴대폰 인증 선택</t>
    <phoneticPr fontId="3" type="noConversion"/>
  </si>
  <si>
    <t>1. PW 찾기 &gt; 본인인증으로 찾기
2. 아이디입력 후 아이핀(I-PIN)본인인증 선택</t>
    <phoneticPr fontId="3" type="noConversion"/>
  </si>
  <si>
    <t>1. PW 찾기 &gt; PW 찾기 성공
2. 새비밀번호, 새비밀번호 확인 입력 후 확인 버튼 선택</t>
    <phoneticPr fontId="3" type="noConversion"/>
  </si>
  <si>
    <t>IT-MB-005-002</t>
  </si>
  <si>
    <t>IT-MB-005-003</t>
  </si>
  <si>
    <t>IT-MB-005-004</t>
  </si>
  <si>
    <t>IT-MB-005-005</t>
  </si>
  <si>
    <t>IT-MB-005-006</t>
  </si>
  <si>
    <t>IT-MB-005-007</t>
  </si>
  <si>
    <t>IT-MB-005-008</t>
  </si>
  <si>
    <t>IT-MB-005-009</t>
  </si>
  <si>
    <t>IT-MB-005-010</t>
  </si>
  <si>
    <t>IT-MB-005-011</t>
  </si>
  <si>
    <t>IT-MB-005-012</t>
  </si>
  <si>
    <t>아이디, 이름, 이메일주소 입력</t>
    <phoneticPr fontId="3" type="noConversion"/>
  </si>
  <si>
    <t>아이디입력</t>
    <phoneticPr fontId="3" type="noConversion"/>
  </si>
  <si>
    <t>IT-MB-005-013</t>
  </si>
  <si>
    <t>IT-MB-005-014</t>
  </si>
  <si>
    <t>IT-MB-005-015</t>
  </si>
  <si>
    <t>IT-MB-005-016</t>
  </si>
  <si>
    <t>IT-MB-005-017</t>
  </si>
  <si>
    <t>IT-MB-005-018</t>
  </si>
  <si>
    <t>IT-MB-005-019</t>
  </si>
  <si>
    <t>IT-MB-005-020</t>
  </si>
  <si>
    <t>IT-MB-005-021</t>
  </si>
  <si>
    <t>IT-MB-005-022</t>
  </si>
  <si>
    <t>IT-MB-005-023</t>
  </si>
  <si>
    <t>IT-MB-005-024</t>
  </si>
  <si>
    <t>IT-MB-005-025</t>
  </si>
  <si>
    <t>IT-MB-005-027</t>
  </si>
  <si>
    <t>IT-MB-005-028</t>
  </si>
  <si>
    <t>IT-MB-005-029</t>
  </si>
  <si>
    <t>IT-MB-005-030</t>
  </si>
  <si>
    <t>IT-MB-005-031</t>
  </si>
  <si>
    <t>IT-MB-005-032</t>
  </si>
  <si>
    <t>IT-MB-005-033</t>
  </si>
  <si>
    <t>IT-MB-005-034</t>
  </si>
  <si>
    <t>IT-MB-005-035</t>
  </si>
  <si>
    <t>IT-MB-005-036</t>
  </si>
  <si>
    <t>IT-MB-005-037</t>
  </si>
  <si>
    <t>IT-MB-005-038</t>
  </si>
  <si>
    <t>IT-MB-005-039</t>
  </si>
  <si>
    <t>IT-MB-005-040</t>
  </si>
  <si>
    <t>임직원 인증</t>
    <phoneticPr fontId="3" type="noConversion"/>
  </si>
  <si>
    <t>IT-MB-006-001</t>
  </si>
  <si>
    <t>IT-MB-006-007</t>
  </si>
  <si>
    <t>IT-MB-006-008</t>
  </si>
  <si>
    <t>IT-MB-006-009</t>
  </si>
  <si>
    <t>Footer에 임직원 인증 버튼 선택</t>
    <phoneticPr fontId="3" type="noConversion"/>
  </si>
  <si>
    <t>1. 임직원 인증 페이지
2. 임직원 사번 입력 후 인증버튼 선택</t>
    <phoneticPr fontId="3" type="noConversion"/>
  </si>
  <si>
    <t>1. 임직원 인증 페이지
2. 임직원 사번 오류 입력 
- 3회 반복</t>
    <phoneticPr fontId="3" type="noConversion"/>
  </si>
  <si>
    <t xml:space="preserve">1. 인증전
- 통합멤버십 로그인 : 임직원 인증 
2 인증후
- 임직원로그인 : 멤버십 로그인
3 인증후
- 일반로그인 : 임직원 로그인 </t>
    <phoneticPr fontId="3" type="noConversion"/>
  </si>
  <si>
    <t>1. BO &gt; 회원정보
2. 임직원정보의 정보 확인</t>
    <phoneticPr fontId="3" type="noConversion"/>
  </si>
  <si>
    <t>1. 사용자 페이지에서 임직원이 인증 실패
2. BO &gt; 회원정보
3. 임직원정보의 실패 횟수 확인</t>
    <phoneticPr fontId="3" type="noConversion"/>
  </si>
  <si>
    <t>1. BO &gt; 회원정보
2. 회원정보 &gt; 임직원정보의 인증 초기화 선택</t>
    <phoneticPr fontId="3" type="noConversion"/>
  </si>
  <si>
    <t>IT-MB-006-002</t>
  </si>
  <si>
    <t>IT-MB-006-003</t>
  </si>
  <si>
    <t>IT-MB-006-004</t>
  </si>
  <si>
    <t>IT-MB-006-005</t>
  </si>
  <si>
    <t>IT-MB-006-006</t>
  </si>
  <si>
    <t>IT-MB-006-010</t>
  </si>
  <si>
    <t>IT-MB-006-011</t>
  </si>
  <si>
    <t>IT-MB-006-012</t>
  </si>
  <si>
    <t>IT-MB-006-013</t>
  </si>
  <si>
    <t>IT-MB-006-014</t>
  </si>
  <si>
    <t>IT-MB-006-015</t>
  </si>
  <si>
    <t>IT-MB-006-016</t>
  </si>
  <si>
    <t>IT-MB-006-017</t>
  </si>
  <si>
    <t>IT-MB-006-018</t>
  </si>
  <si>
    <t>IT-MB-006-019</t>
  </si>
  <si>
    <t>IT-MB-006-020</t>
  </si>
  <si>
    <t>IT-MB-006-021</t>
  </si>
  <si>
    <t>IT-MB-006-022</t>
  </si>
  <si>
    <t>IT-MB-006-023</t>
  </si>
  <si>
    <t>IT-MB-006-024</t>
  </si>
  <si>
    <t>IT-MB-006-025</t>
  </si>
  <si>
    <t>IT-MB-006-026</t>
  </si>
  <si>
    <t>IT-MB-006-027</t>
  </si>
  <si>
    <t>IT-MB-006-028</t>
  </si>
  <si>
    <t>IT-MB-006-029</t>
  </si>
  <si>
    <t>임직원 사번 입력</t>
    <phoneticPr fontId="3" type="noConversion"/>
  </si>
  <si>
    <t>회원탈퇴</t>
  </si>
  <si>
    <t>회원탈퇴</t>
    <phoneticPr fontId="3" type="noConversion"/>
  </si>
  <si>
    <t>회원탈퇴 페이지 이동</t>
    <phoneticPr fontId="3" type="noConversion"/>
  </si>
  <si>
    <t xml:space="preserve">1. 로그인 &gt; 마이페이지
2. 회원탈퇴 선택 </t>
    <phoneticPr fontId="3" type="noConversion"/>
  </si>
  <si>
    <t>1. 로그인 &gt; 마이페이지
2. 회원탈퇴 선택 &gt; 비밀번호 입력</t>
    <phoneticPr fontId="3" type="noConversion"/>
  </si>
  <si>
    <t>1. 회원탈퇴 페이지
2. 탈퇴사유 선택 &gt; 회원탈퇴 버튼 선택</t>
    <phoneticPr fontId="3" type="noConversion"/>
  </si>
  <si>
    <t>1. 회원탈퇴 페이지
2. 주문중인 회원의 회원탈퇴 선택</t>
    <phoneticPr fontId="3" type="noConversion"/>
  </si>
  <si>
    <t>1. 회원탈퇴 페이지
2. AS신청중 회원의 회원탈퇴 선택</t>
    <phoneticPr fontId="3" type="noConversion"/>
  </si>
  <si>
    <t>1. 회원탈퇴 페이지
2. 클래임 진행중 회원의 회원탈퇴 선택</t>
    <phoneticPr fontId="3" type="noConversion"/>
  </si>
  <si>
    <t>1. 회원탈퇴 페이지
2. 입금대기 상태 회원탈퇴 선택</t>
    <phoneticPr fontId="3" type="noConversion"/>
  </si>
  <si>
    <t>1. 회원탈퇴 페이지
2. 기프트카드 보유한 경우 회원탈퇴 선택</t>
    <phoneticPr fontId="3" type="noConversion"/>
  </si>
  <si>
    <t>1. 회원탈퇴 완료
2. 로그인, 재 회원가입 테스트</t>
    <phoneticPr fontId="3" type="noConversion"/>
  </si>
  <si>
    <t>1. 회원탈퇴 완료
2. 탈퇴회원의 문의, 상품후기, 상품Q&amp;A, 탈퇴회원의 문의, 상품후기, 상품Q&amp;A, 정보 조회</t>
    <phoneticPr fontId="3" type="noConversion"/>
  </si>
  <si>
    <t>1. 회원관리 &gt; 회원검색
2. 탈퇴회원 계정으로 검색</t>
    <phoneticPr fontId="3" type="noConversion"/>
  </si>
  <si>
    <t>1. 고객응대관리
2. 탈퇴회원의 1:1문의, 고객의소리, 상품후기, 상품Q&amp;A 정보 조회</t>
    <phoneticPr fontId="3" type="noConversion"/>
  </si>
  <si>
    <t>1. 주문관리 &gt; 주문관리 확인
2. 탈퇴회원의 거래내역이 있는 주문정보 조회</t>
    <phoneticPr fontId="3" type="noConversion"/>
  </si>
  <si>
    <t>1. 매출/정산/통계 &gt; 각 통계화면 확인
2. 탈퇴회원의 거래내역이 있는 매출/정산/통계 정보 조회</t>
    <phoneticPr fontId="3" type="noConversion"/>
  </si>
  <si>
    <t>1. 기프트카드
2. 탈퇴회원의 기프트 카드 충전내역 조회</t>
    <phoneticPr fontId="3" type="noConversion"/>
  </si>
  <si>
    <t>1. 회원관리&gt;회원검색
2. 휴면예정회원 검색</t>
    <phoneticPr fontId="3" type="noConversion"/>
  </si>
  <si>
    <t>1. 회원관리&gt;회원검색
2. 탈퇴회원 계정으로 검색</t>
    <phoneticPr fontId="3" type="noConversion"/>
  </si>
  <si>
    <t>휴면예정회원</t>
  </si>
  <si>
    <t>IT-MB-007-001</t>
  </si>
  <si>
    <t>1. 회원전환 (IT-MB-003)
 - 멤버십회원  &gt; 통합멤버십회원 : 1 &gt; 2 &gt; 10 &gt; 11
 - 온라인,SNS  &gt; 통합멤버십회원 : 3 &gt; 4 &gt; 5 &gt; 6 &gt; 7 &gt; 8 &gt; 9 &gt; 10 &gt; 11
 - SNS  &gt; 온라인회원 : 12 &gt; 13 &gt; 14 &gt; 15 &gt; 16 &gt; 17 &gt; 18 &gt; 19</t>
  </si>
  <si>
    <t>IT-MB-003-064</t>
  </si>
  <si>
    <t>IT-MB-003-065</t>
  </si>
  <si>
    <t>IT-MB-003-066</t>
  </si>
  <si>
    <t>IT-MB-003-067</t>
  </si>
  <si>
    <t>IT-MB-003-068</t>
  </si>
  <si>
    <t>IT-MB-003-069</t>
  </si>
  <si>
    <t>IT-MB-003-070</t>
  </si>
  <si>
    <t>IT-MB-003-071</t>
  </si>
  <si>
    <t>IT-MB-003-072</t>
  </si>
  <si>
    <t>IT-MB-003-073</t>
  </si>
  <si>
    <t>IT-MB-003-074</t>
  </si>
  <si>
    <t>IT-MB-003-075</t>
  </si>
  <si>
    <t>IT-MB-003-076</t>
  </si>
  <si>
    <t>IT-MB-003-077</t>
  </si>
  <si>
    <t>IT-MB-003-078</t>
  </si>
  <si>
    <t>IT-MB-003-079</t>
  </si>
  <si>
    <t>IT-MB-003-080</t>
  </si>
  <si>
    <t>1. 로그인 (IT-MB-004)
 - 회원 로그인 : 1 &gt; 2 &gt; 3 &gt; 4 &gt; 5
 - SNS 로그인 : 6 &gt; 7 &gt; 8 &gt; 9</t>
  </si>
  <si>
    <t>IT-MB-004-002</t>
  </si>
  <si>
    <t>IT-MB-004-003</t>
  </si>
  <si>
    <t>IT-MB-004-004</t>
  </si>
  <si>
    <t>IT-MB-004-005</t>
  </si>
  <si>
    <t>IT-MB-004-006</t>
  </si>
  <si>
    <t>IT-MB-004-007</t>
  </si>
  <si>
    <t>IT-MB-004-008</t>
  </si>
  <si>
    <t>IT-MB-004-009</t>
  </si>
  <si>
    <t>IT-MB-004-010</t>
  </si>
  <si>
    <t>IT-MB-004-011</t>
  </si>
  <si>
    <t>IT-MB-004-012</t>
  </si>
  <si>
    <t>IT-MB-004-013</t>
  </si>
  <si>
    <t>IT-MB-004-014</t>
  </si>
  <si>
    <t>IT-MB-004-015</t>
  </si>
  <si>
    <t>IT-MB-004-016</t>
  </si>
  <si>
    <t>IT-MB-004-017</t>
  </si>
  <si>
    <t>IT-MB-004-018</t>
  </si>
  <si>
    <t>IT-MB-004-019</t>
  </si>
  <si>
    <t>IT-MB-004-020</t>
  </si>
  <si>
    <t>IT-MB-004-021</t>
  </si>
  <si>
    <t>IT-MB-004-022</t>
  </si>
  <si>
    <t>IT-MB-004-023</t>
  </si>
  <si>
    <t>IT-MB-004-024</t>
  </si>
  <si>
    <t>IT-MB-004-025</t>
  </si>
  <si>
    <t>IT-MB-004-026</t>
  </si>
  <si>
    <t>IT-MB-004-027</t>
  </si>
  <si>
    <t>IT-MB-004-028</t>
  </si>
  <si>
    <t>IT-MB-004-029</t>
  </si>
  <si>
    <t>IT-MB-004-030</t>
  </si>
  <si>
    <t>IT-MB-004-031</t>
  </si>
  <si>
    <t>IT-MB-004-032</t>
  </si>
  <si>
    <t>IT-MB-004-033</t>
  </si>
  <si>
    <t>IT-MB-004-034</t>
  </si>
  <si>
    <t>IT-MB-004-035</t>
  </si>
  <si>
    <t>IT-MB-004-036</t>
  </si>
  <si>
    <t>IT-MB-004-037</t>
  </si>
  <si>
    <t>IT-MB-004-038</t>
  </si>
  <si>
    <t>IT-MB-004-039</t>
  </si>
  <si>
    <t>IT-MB-004-040</t>
  </si>
  <si>
    <t>IT-MB-004-041</t>
  </si>
  <si>
    <t>IT-MB-004-042</t>
  </si>
  <si>
    <t>IT-MB-004-043</t>
  </si>
  <si>
    <t>IT-MB-004-044</t>
  </si>
  <si>
    <t>IT-MB-004-045</t>
  </si>
  <si>
    <t>IT-MB-004-046</t>
  </si>
  <si>
    <t>IT-MB-004-047</t>
  </si>
  <si>
    <t>IT-MB-004-048</t>
  </si>
  <si>
    <t>IT-MB-004-049</t>
  </si>
  <si>
    <t>IT-MB-004-050</t>
  </si>
  <si>
    <t>IT-MB-004-051</t>
  </si>
  <si>
    <t>IT-MB-004-052</t>
  </si>
  <si>
    <t>IT-MB-004-053</t>
  </si>
  <si>
    <t>IT-MB-004-054</t>
  </si>
  <si>
    <t>IT-MB-004-055</t>
  </si>
  <si>
    <t>IT-MB-004-056</t>
  </si>
  <si>
    <t>IT-MB-004-057</t>
  </si>
  <si>
    <t>IT-MB-004-058</t>
  </si>
  <si>
    <t>IT-MB-004-059</t>
  </si>
  <si>
    <t>IT-MB-004-060</t>
  </si>
  <si>
    <t>IT-MB-004-061</t>
  </si>
  <si>
    <t>IT-MB-004-062</t>
  </si>
  <si>
    <t>IT-MB-004-063</t>
  </si>
  <si>
    <t>1. ID 찾기 (IT-MB-005)
 - 이메일 주소로 찾기 : 1 &gt; 2 &gt; 3 &gt; 4 &gt; 5
 - 휴대폰 번호로 찾기 : 6 &gt; 7 &gt; 8 &gt; 9 &gt; 10</t>
  </si>
  <si>
    <t>1. PW 찾기(IT-MB-006)
 - 이메일 주소로 찾기 : 1 &gt; 2 &gt; 3 &gt; 4 &gt; 5 &gt; 6
 - 휴대폰 번호로 찾기 : 7 &gt; 8 &gt; 9 &gt; 10 &gt; 11 &gt; 12
 - 본인 인증으로 찾기 : 13 &gt; 14 &gt; 15 &gt; 16</t>
  </si>
  <si>
    <t>IT-MB-006-030</t>
  </si>
  <si>
    <t>IT-MB-006-031</t>
  </si>
  <si>
    <t>IT-MB-006-032</t>
  </si>
  <si>
    <t>IT-MB-006-033</t>
  </si>
  <si>
    <t>IT-MB-006-034</t>
  </si>
  <si>
    <t>IT-MB-006-035</t>
  </si>
  <si>
    <t>IT-MB-006-036</t>
  </si>
  <si>
    <t>IT-MB-006-037</t>
  </si>
  <si>
    <t>IT-MB-006-038</t>
  </si>
  <si>
    <t>IT-MB-006-039</t>
  </si>
  <si>
    <t>IT-MB-006-040</t>
  </si>
  <si>
    <t>IT-MB-006-041</t>
  </si>
  <si>
    <t>IT-MB-006-042</t>
  </si>
  <si>
    <t>IT-MB-006-043</t>
  </si>
  <si>
    <t>IT-MB-006-044</t>
  </si>
  <si>
    <t>IT-MB-006-045</t>
  </si>
  <si>
    <t>IT-MB-006-046</t>
  </si>
  <si>
    <t>IT-MB-006-047</t>
  </si>
  <si>
    <t>IT-MB-006-048</t>
  </si>
  <si>
    <t xml:space="preserve"> 1. 임직원인증(IT-MB-007) : 1 &gt; 2 &gt; 3</t>
  </si>
  <si>
    <t>IT-MB-007-002</t>
  </si>
  <si>
    <t>IT-MB-007-003</t>
  </si>
  <si>
    <t>IT-MB-007-004</t>
  </si>
  <si>
    <t>IT-MB-007-005</t>
  </si>
  <si>
    <t>IT-MB-007-006</t>
  </si>
  <si>
    <t>IT-MB-007-007</t>
  </si>
  <si>
    <t>IT-MB-007-008</t>
  </si>
  <si>
    <t>IT-MB-007-009</t>
  </si>
  <si>
    <t>IT-MB-007-010</t>
  </si>
  <si>
    <t>IT-MB-007-011</t>
  </si>
  <si>
    <t>IT-MB-007-012</t>
  </si>
  <si>
    <t>IT-MB-007-013</t>
  </si>
  <si>
    <t>IT-MB-007-014</t>
  </si>
  <si>
    <t>IT-MB-007-015</t>
  </si>
  <si>
    <t>IT-MB-007-016</t>
  </si>
  <si>
    <t>IT-MB-007-017</t>
  </si>
  <si>
    <t>IT-MB-007-018</t>
  </si>
  <si>
    <t>IT-MB-007-019</t>
  </si>
  <si>
    <t>IT-MB-007-020</t>
  </si>
  <si>
    <t>IT-MB-007-021</t>
  </si>
  <si>
    <t>IT-MB-007-022</t>
  </si>
  <si>
    <t>IT-MB-007-023</t>
  </si>
  <si>
    <t>IT-MB-007-024</t>
  </si>
  <si>
    <t>IT-MB-007-025</t>
  </si>
  <si>
    <t>IT-MB-007-026</t>
  </si>
  <si>
    <t>IT-MB-007-027</t>
  </si>
  <si>
    <t>IT-MB-007-028</t>
  </si>
  <si>
    <t>IT-MB-008-001</t>
  </si>
  <si>
    <t>IT-MB-008-002</t>
  </si>
  <si>
    <t>IT-MB-008-003</t>
  </si>
  <si>
    <t>IT-MB-008-004</t>
  </si>
  <si>
    <t>IT-MB-008-005</t>
  </si>
  <si>
    <t>IT-MB-008-006</t>
  </si>
  <si>
    <t>IT-MB-008-007</t>
  </si>
  <si>
    <t>IT-MB-008-008</t>
  </si>
  <si>
    <t>IT-MB-008-009</t>
  </si>
  <si>
    <t>IT-MB-008-010</t>
  </si>
  <si>
    <t>IT-MB-008-011</t>
  </si>
  <si>
    <t>IT-MB-008-012</t>
  </si>
  <si>
    <t>IT-MB-008-013</t>
  </si>
  <si>
    <t>IT-MB-008-014</t>
  </si>
  <si>
    <t>IT-MB-008-015</t>
  </si>
  <si>
    <t>IT-MB-008-016</t>
  </si>
  <si>
    <t>IT-MB-008-017</t>
  </si>
  <si>
    <t>IT-MB-008-018</t>
  </si>
  <si>
    <t>IT-MB-008-019</t>
  </si>
  <si>
    <t>IT-MB-008-020</t>
  </si>
  <si>
    <t>IT-MB-008-021</t>
  </si>
  <si>
    <t>IT-MB-008-022</t>
  </si>
  <si>
    <t>IT-MB-008-023</t>
  </si>
  <si>
    <t>IT-MB-008-024</t>
  </si>
  <si>
    <t>IT-MB-008-025</t>
  </si>
  <si>
    <t>IT-MB-008-026</t>
  </si>
  <si>
    <t>IT-MB-008-027</t>
  </si>
  <si>
    <t>IT-MB-008-028</t>
  </si>
  <si>
    <t>IT-MB-008-029</t>
  </si>
  <si>
    <t>IT-MB-008-030</t>
  </si>
  <si>
    <t>IT-MB-008-031</t>
  </si>
  <si>
    <t>IT-MB-008-032</t>
  </si>
  <si>
    <t>IT-MB-008-033</t>
  </si>
  <si>
    <t>IT-MB-008-034</t>
  </si>
  <si>
    <t>IT-MB-008-035</t>
  </si>
  <si>
    <t>IT-MB-008-036</t>
  </si>
  <si>
    <t>IT-MB-008-037</t>
  </si>
  <si>
    <t>IT-MB-008-038</t>
  </si>
  <si>
    <t>IT-MB-008-039</t>
  </si>
  <si>
    <t>IT-MB-008-040</t>
  </si>
  <si>
    <t>IT-MB-008-041</t>
  </si>
  <si>
    <t>IT-MB-008-042</t>
  </si>
  <si>
    <t>IT-MB-008-043</t>
  </si>
  <si>
    <t>IT-MB-008-044</t>
  </si>
  <si>
    <t>IT-MB-008-045</t>
  </si>
  <si>
    <t>IT-MB-008-046</t>
  </si>
  <si>
    <t>IT-MB-008-047</t>
  </si>
  <si>
    <t>IT-MB-008-048</t>
  </si>
  <si>
    <t>IT-MB-008-049</t>
  </si>
  <si>
    <t>IT-MB-008-050</t>
  </si>
  <si>
    <t>IT-MB-008-051</t>
  </si>
  <si>
    <t>IT-MB-008-052</t>
  </si>
  <si>
    <t>IT-MB-008-053</t>
  </si>
  <si>
    <t>IT-MB-008-054</t>
  </si>
  <si>
    <t>IT-MB-008-055</t>
  </si>
  <si>
    <t>IT-MB-008-056</t>
  </si>
  <si>
    <t>IT-MB-008-057</t>
  </si>
  <si>
    <t>IT-MB-008-058</t>
  </si>
  <si>
    <t>IT-MB-008-059</t>
  </si>
  <si>
    <t>IT-MB-008-060</t>
    <phoneticPr fontId="3" type="noConversion"/>
  </si>
  <si>
    <t>IT-MB-009-001</t>
    <phoneticPr fontId="3" type="noConversion"/>
  </si>
  <si>
    <t>IT-MB-009-002</t>
  </si>
  <si>
    <t>IT-MB-009-003</t>
  </si>
  <si>
    <t xml:space="preserve"> 1. 회원탈퇴 (IT-MB-008)  : 1 &gt; 2 &gt; 3
 2. 휴면예정회원 (IT-MB-009) </t>
    <phoneticPr fontId="3" type="noConversion"/>
  </si>
  <si>
    <t>IT-MB-001</t>
  </si>
  <si>
    <t>IT-MB-002</t>
  </si>
  <si>
    <t>IT-MB-003</t>
  </si>
  <si>
    <t>IT-MB-004</t>
  </si>
  <si>
    <t>IT-MB-005</t>
  </si>
  <si>
    <t>IT-MB-006</t>
  </si>
  <si>
    <t>임직원인증</t>
  </si>
  <si>
    <t>IT-MB-007</t>
  </si>
  <si>
    <t>IT-MB-008</t>
  </si>
  <si>
    <t>IT-MB-009</t>
  </si>
  <si>
    <t>수정/보완</t>
    <phoneticPr fontId="3" type="noConversion"/>
  </si>
  <si>
    <t>조영진</t>
    <phoneticPr fontId="3" type="noConversion"/>
  </si>
  <si>
    <t>회원가입 Sheet</t>
  </si>
  <si>
    <t>회원전환 Sheet</t>
    <phoneticPr fontId="3" type="noConversion"/>
  </si>
  <si>
    <t>로그인 Sheet</t>
    <phoneticPr fontId="3" type="noConversion"/>
  </si>
  <si>
    <t>ID 찾기 Sheet</t>
    <phoneticPr fontId="3" type="noConversion"/>
  </si>
  <si>
    <t>PW 찾기 Sheet</t>
    <phoneticPr fontId="3" type="noConversion"/>
  </si>
  <si>
    <t>임직원 인증 Sheet</t>
    <phoneticPr fontId="3" type="noConversion"/>
  </si>
  <si>
    <t>회원 탈퇴 Sheet</t>
    <phoneticPr fontId="3" type="noConversion"/>
  </si>
  <si>
    <t>회원전환</t>
    <phoneticPr fontId="3" type="noConversion"/>
  </si>
  <si>
    <t>임직원 인증</t>
    <phoneticPr fontId="3" type="noConversion"/>
  </si>
  <si>
    <t>회원 탈퇴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</si>
</sst>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0.00_ "/>
    <numFmt numFmtId="178" formatCode="0_ "/>
  </numFmts>
  <fonts count="3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b/>
      <sz val="10"/>
      <color rgb="FFFA7D00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 tint="0.499984740745262"/>
        <bgColor theme="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</borders>
  <cellStyleXfs count="70">
    <xf numFmtId="0" fontId="0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" fillId="7" borderId="15" applyNumberFormat="0" applyFont="0" applyAlignment="0" applyProtection="0">
      <alignment vertical="center"/>
    </xf>
  </cellStyleXfs>
  <cellXfs count="173">
    <xf numFmtId="0" fontId="0" fillId="0" borderId="0" xfId="0">
      <alignment vertical="center"/>
    </xf>
    <xf numFmtId="0" fontId="13" fillId="0" borderId="0" xfId="41" applyFont="1" applyAlignment="1">
      <alignment vertical="center"/>
    </xf>
    <xf numFmtId="0" fontId="18" fillId="3" borderId="0" xfId="4" applyFont="1" applyFill="1" applyAlignment="1">
      <alignment horizontal="center" vertical="center"/>
    </xf>
    <xf numFmtId="0" fontId="18" fillId="0" borderId="0" xfId="4" applyFont="1" applyAlignment="1">
      <alignment vertical="center"/>
    </xf>
    <xf numFmtId="0" fontId="15" fillId="3" borderId="1" xfId="41" applyFont="1" applyFill="1" applyBorder="1" applyAlignment="1">
      <alignment horizontal="center" vertical="center"/>
    </xf>
    <xf numFmtId="176" fontId="15" fillId="3" borderId="1" xfId="4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6" fontId="14" fillId="3" borderId="1" xfId="41" applyNumberFormat="1" applyFont="1" applyFill="1" applyBorder="1" applyAlignment="1">
      <alignment horizontal="center" vertical="center" wrapText="1"/>
    </xf>
    <xf numFmtId="0" fontId="15" fillId="3" borderId="1" xfId="41" applyFont="1" applyFill="1" applyBorder="1" applyAlignment="1">
      <alignment vertical="center"/>
    </xf>
    <xf numFmtId="55" fontId="15" fillId="3" borderId="1" xfId="62" quotePrefix="1" applyNumberFormat="1" applyFont="1" applyFill="1" applyBorder="1" applyAlignment="1">
      <alignment vertical="center"/>
    </xf>
    <xf numFmtId="14" fontId="15" fillId="3" borderId="1" xfId="41" quotePrefix="1" applyNumberFormat="1" applyFont="1" applyFill="1" applyBorder="1" applyAlignment="1">
      <alignment vertical="center"/>
    </xf>
    <xf numFmtId="0" fontId="2" fillId="2" borderId="0" xfId="41" applyFill="1" applyAlignment="1">
      <alignment vertical="center"/>
    </xf>
    <xf numFmtId="0" fontId="20" fillId="0" borderId="0" xfId="66" applyFont="1" applyBorder="1">
      <alignment vertical="center"/>
    </xf>
    <xf numFmtId="0" fontId="20" fillId="0" borderId="0" xfId="66" applyFont="1">
      <alignment vertical="center"/>
    </xf>
    <xf numFmtId="0" fontId="0" fillId="2" borderId="0" xfId="41" applyFont="1" applyFill="1" applyAlignment="1">
      <alignment vertical="center"/>
    </xf>
    <xf numFmtId="0" fontId="2" fillId="2" borderId="0" xfId="41" applyFill="1">
      <alignment vertical="center"/>
    </xf>
    <xf numFmtId="0" fontId="16" fillId="3" borderId="1" xfId="41" applyFont="1" applyFill="1" applyBorder="1" applyAlignment="1">
      <alignment horizontal="center" vertical="center" wrapText="1"/>
    </xf>
    <xf numFmtId="0" fontId="16" fillId="3" borderId="1" xfId="41" applyFont="1" applyFill="1" applyBorder="1" applyAlignment="1">
      <alignment horizontal="center" vertical="center"/>
    </xf>
    <xf numFmtId="177" fontId="15" fillId="3" borderId="1" xfId="41" applyNumberFormat="1" applyFont="1" applyFill="1" applyBorder="1" applyAlignment="1">
      <alignment horizontal="center" vertical="center" wrapText="1"/>
    </xf>
    <xf numFmtId="177" fontId="14" fillId="3" borderId="1" xfId="41" applyNumberFormat="1" applyFont="1" applyFill="1" applyBorder="1" applyAlignment="1">
      <alignment horizontal="center" vertical="center" wrapText="1"/>
    </xf>
    <xf numFmtId="14" fontId="15" fillId="3" borderId="1" xfId="41" applyNumberFormat="1" applyFont="1" applyFill="1" applyBorder="1" applyAlignment="1">
      <alignment horizontal="center" vertical="center"/>
    </xf>
    <xf numFmtId="55" fontId="15" fillId="3" borderId="1" xfId="62" quotePrefix="1" applyNumberFormat="1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vertical="center"/>
    </xf>
    <xf numFmtId="0" fontId="18" fillId="0" borderId="16" xfId="4" applyFont="1" applyBorder="1" applyAlignment="1">
      <alignment vertical="center"/>
    </xf>
    <xf numFmtId="0" fontId="18" fillId="0" borderId="16" xfId="4" applyFont="1" applyBorder="1" applyAlignment="1">
      <alignment horizontal="center" vertical="center"/>
    </xf>
    <xf numFmtId="0" fontId="18" fillId="0" borderId="16" xfId="4" applyFont="1" applyFill="1" applyBorder="1" applyAlignment="1">
      <alignment vertical="center"/>
    </xf>
    <xf numFmtId="0" fontId="18" fillId="0" borderId="19" xfId="4" applyFont="1" applyBorder="1" applyAlignment="1">
      <alignment vertical="center"/>
    </xf>
    <xf numFmtId="0" fontId="18" fillId="0" borderId="20" xfId="4" applyFont="1" applyBorder="1" applyAlignment="1">
      <alignment vertical="center"/>
    </xf>
    <xf numFmtId="0" fontId="18" fillId="0" borderId="20" xfId="4" applyFont="1" applyFill="1" applyBorder="1" applyAlignment="1">
      <alignment vertical="center"/>
    </xf>
    <xf numFmtId="0" fontId="18" fillId="3" borderId="17" xfId="4" applyFont="1" applyFill="1" applyBorder="1" applyAlignment="1">
      <alignment horizontal="center" vertical="center"/>
    </xf>
    <xf numFmtId="0" fontId="18" fillId="0" borderId="17" xfId="4" applyFont="1" applyBorder="1" applyAlignment="1">
      <alignment vertical="center"/>
    </xf>
    <xf numFmtId="0" fontId="18" fillId="0" borderId="18" xfId="4" applyFont="1" applyBorder="1" applyAlignment="1">
      <alignment horizontal="center" vertical="center"/>
    </xf>
    <xf numFmtId="0" fontId="18" fillId="0" borderId="18" xfId="4" applyFont="1" applyBorder="1" applyAlignment="1">
      <alignment vertical="center"/>
    </xf>
    <xf numFmtId="0" fontId="18" fillId="0" borderId="22" xfId="4" applyFont="1" applyBorder="1" applyAlignment="1">
      <alignment vertical="center"/>
    </xf>
    <xf numFmtId="0" fontId="15" fillId="0" borderId="16" xfId="4" applyFont="1" applyBorder="1" applyAlignment="1">
      <alignment vertical="center"/>
    </xf>
    <xf numFmtId="0" fontId="15" fillId="3" borderId="16" xfId="4" applyFont="1" applyFill="1" applyBorder="1" applyAlignment="1">
      <alignment horizontal="center" vertical="center"/>
    </xf>
    <xf numFmtId="0" fontId="15" fillId="0" borderId="16" xfId="4" applyFont="1" applyBorder="1" applyAlignment="1">
      <alignment horizontal="center" vertical="center"/>
    </xf>
    <xf numFmtId="0" fontId="15" fillId="3" borderId="17" xfId="4" applyFont="1" applyFill="1" applyBorder="1" applyAlignment="1">
      <alignment horizontal="center" vertical="center"/>
    </xf>
    <xf numFmtId="0" fontId="15" fillId="0" borderId="17" xfId="4" applyFont="1" applyBorder="1" applyAlignment="1">
      <alignment horizontal="center" vertical="center"/>
    </xf>
    <xf numFmtId="0" fontId="15" fillId="0" borderId="17" xfId="4" applyFont="1" applyBorder="1" applyAlignment="1">
      <alignment vertical="center"/>
    </xf>
    <xf numFmtId="0" fontId="15" fillId="0" borderId="19" xfId="4" applyFont="1" applyBorder="1" applyAlignment="1">
      <alignment vertical="center"/>
    </xf>
    <xf numFmtId="0" fontId="15" fillId="0" borderId="20" xfId="4" applyFont="1" applyBorder="1" applyAlignment="1">
      <alignment vertical="center"/>
    </xf>
    <xf numFmtId="0" fontId="15" fillId="0" borderId="19" xfId="4" applyFont="1" applyFill="1" applyBorder="1" applyAlignment="1">
      <alignment vertical="center"/>
    </xf>
    <xf numFmtId="0" fontId="15" fillId="0" borderId="16" xfId="4" applyFont="1" applyFill="1" applyBorder="1" applyAlignment="1">
      <alignment vertical="center"/>
    </xf>
    <xf numFmtId="0" fontId="15" fillId="0" borderId="18" xfId="4" applyFont="1" applyBorder="1" applyAlignment="1">
      <alignment horizontal="center" vertical="center"/>
    </xf>
    <xf numFmtId="0" fontId="15" fillId="0" borderId="18" xfId="4" applyFont="1" applyBorder="1" applyAlignment="1">
      <alignment vertical="center"/>
    </xf>
    <xf numFmtId="0" fontId="15" fillId="3" borderId="23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18" fillId="3" borderId="17" xfId="4" applyFont="1" applyFill="1" applyBorder="1" applyAlignment="1">
      <alignment vertical="center"/>
    </xf>
    <xf numFmtId="0" fontId="18" fillId="0" borderId="23" xfId="4" applyFont="1" applyBorder="1" applyAlignment="1">
      <alignment horizontal="center" vertical="center"/>
    </xf>
    <xf numFmtId="0" fontId="18" fillId="0" borderId="23" xfId="4" applyFont="1" applyBorder="1" applyAlignment="1">
      <alignment vertical="center"/>
    </xf>
    <xf numFmtId="0" fontId="18" fillId="3" borderId="21" xfId="4" applyFont="1" applyFill="1" applyBorder="1" applyAlignment="1">
      <alignment vertical="center"/>
    </xf>
    <xf numFmtId="0" fontId="18" fillId="3" borderId="23" xfId="4" applyFont="1" applyFill="1" applyBorder="1" applyAlignment="1">
      <alignment horizontal="center" vertical="center"/>
    </xf>
    <xf numFmtId="0" fontId="28" fillId="9" borderId="25" xfId="0" applyFont="1" applyFill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left" vertical="center" wrapText="1"/>
    </xf>
    <xf numFmtId="0" fontId="18" fillId="0" borderId="25" xfId="4" applyFont="1" applyFill="1" applyBorder="1" applyAlignment="1">
      <alignment horizontal="left" vertical="center" wrapText="1"/>
    </xf>
    <xf numFmtId="0" fontId="29" fillId="8" borderId="1" xfId="4" applyNumberFormat="1" applyFont="1" applyFill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/>
    </xf>
    <xf numFmtId="0" fontId="18" fillId="0" borderId="26" xfId="0" applyFont="1" applyFill="1" applyBorder="1" applyAlignment="1">
      <alignment horizontal="left" vertical="center" wrapText="1"/>
    </xf>
    <xf numFmtId="14" fontId="18" fillId="2" borderId="2" xfId="41" applyNumberFormat="1" applyFont="1" applyFill="1" applyBorder="1" applyAlignment="1">
      <alignment horizontal="center" vertical="center"/>
    </xf>
    <xf numFmtId="14" fontId="18" fillId="2" borderId="3" xfId="41" applyNumberFormat="1" applyFont="1" applyFill="1" applyBorder="1" applyAlignment="1">
      <alignment horizontal="center" vertical="center"/>
    </xf>
    <xf numFmtId="0" fontId="18" fillId="2" borderId="2" xfId="41" applyFont="1" applyFill="1" applyBorder="1" applyAlignment="1">
      <alignment horizontal="center" vertical="center"/>
    </xf>
    <xf numFmtId="0" fontId="18" fillId="2" borderId="3" xfId="41" applyFont="1" applyFill="1" applyBorder="1" applyAlignment="1">
      <alignment horizontal="center" vertical="center"/>
    </xf>
    <xf numFmtId="0" fontId="18" fillId="0" borderId="2" xfId="4" applyFont="1" applyBorder="1" applyAlignment="1">
      <alignment horizontal="center" vertical="center" readingOrder="2"/>
    </xf>
    <xf numFmtId="0" fontId="18" fillId="0" borderId="7" xfId="4" applyFont="1" applyBorder="1" applyAlignment="1">
      <alignment horizontal="center" vertical="center" readingOrder="2"/>
    </xf>
    <xf numFmtId="0" fontId="18" fillId="0" borderId="3" xfId="4" applyFont="1" applyBorder="1" applyAlignment="1">
      <alignment horizontal="center" vertical="center" readingOrder="2"/>
    </xf>
    <xf numFmtId="0" fontId="15" fillId="3" borderId="1" xfId="41" applyFont="1" applyFill="1" applyBorder="1" applyAlignment="1">
      <alignment horizontal="left" vertical="center"/>
    </xf>
    <xf numFmtId="0" fontId="16" fillId="3" borderId="1" xfId="41" applyFont="1" applyFill="1" applyBorder="1" applyAlignment="1">
      <alignment horizontal="center" vertical="center"/>
    </xf>
    <xf numFmtId="0" fontId="19" fillId="3" borderId="0" xfId="41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22" fillId="6" borderId="14" xfId="68" applyAlignment="1">
      <alignment horizontal="center" vertical="center"/>
    </xf>
    <xf numFmtId="0" fontId="17" fillId="7" borderId="15" xfId="69" applyFont="1" applyAlignment="1">
      <alignment horizontal="center" vertical="center"/>
    </xf>
    <xf numFmtId="0" fontId="18" fillId="0" borderId="26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18" fillId="0" borderId="2" xfId="4" applyNumberFormat="1" applyFont="1" applyFill="1" applyBorder="1" applyAlignment="1">
      <alignment horizontal="left" vertical="center" wrapText="1"/>
    </xf>
    <xf numFmtId="0" fontId="18" fillId="0" borderId="7" xfId="4" applyNumberFormat="1" applyFont="1" applyFill="1" applyBorder="1" applyAlignment="1">
      <alignment horizontal="left" vertical="center"/>
    </xf>
    <xf numFmtId="0" fontId="18" fillId="0" borderId="3" xfId="4" applyNumberFormat="1" applyFont="1" applyFill="1" applyBorder="1" applyAlignment="1">
      <alignment horizontal="left" vertical="center"/>
    </xf>
    <xf numFmtId="0" fontId="18" fillId="0" borderId="24" xfId="4" applyFont="1" applyFill="1" applyBorder="1" applyAlignment="1">
      <alignment horizontal="left" vertical="center" wrapText="1"/>
    </xf>
    <xf numFmtId="0" fontId="18" fillId="0" borderId="24" xfId="4" applyFont="1" applyFill="1" applyBorder="1" applyAlignment="1">
      <alignment horizontal="left" vertical="center"/>
    </xf>
    <xf numFmtId="0" fontId="29" fillId="8" borderId="24" xfId="4" applyNumberFormat="1" applyFont="1" applyFill="1" applyBorder="1" applyAlignment="1">
      <alignment horizontal="left" vertical="center"/>
    </xf>
    <xf numFmtId="0" fontId="17" fillId="0" borderId="24" xfId="4" applyFont="1" applyFill="1" applyBorder="1" applyAlignment="1">
      <alignment horizontal="center" vertical="center"/>
    </xf>
    <xf numFmtId="0" fontId="17" fillId="0" borderId="24" xfId="4" applyFont="1" applyFill="1" applyBorder="1" applyAlignment="1">
      <alignment horizontal="left" vertical="center" wrapText="1"/>
    </xf>
    <xf numFmtId="0" fontId="17" fillId="0" borderId="24" xfId="4" applyFont="1" applyFill="1" applyBorder="1" applyAlignment="1">
      <alignment horizontal="left" vertical="center"/>
    </xf>
    <xf numFmtId="0" fontId="21" fillId="0" borderId="30" xfId="0" applyFont="1" applyFill="1" applyBorder="1" applyAlignment="1">
      <alignment horizontal="center" vertical="center" wrapText="1"/>
    </xf>
    <xf numFmtId="0" fontId="18" fillId="0" borderId="25" xfId="4" applyFont="1" applyFill="1" applyBorder="1" applyAlignment="1">
      <alignment vertical="center"/>
    </xf>
    <xf numFmtId="10" fontId="18" fillId="0" borderId="25" xfId="67" applyNumberFormat="1" applyFont="1" applyFill="1" applyBorder="1" applyAlignment="1">
      <alignment vertical="center"/>
    </xf>
    <xf numFmtId="10" fontId="18" fillId="0" borderId="31" xfId="67" applyNumberFormat="1" applyFont="1" applyFill="1" applyBorder="1" applyAlignment="1">
      <alignment vertical="center"/>
    </xf>
    <xf numFmtId="0" fontId="25" fillId="4" borderId="32" xfId="0" applyFont="1" applyFill="1" applyBorder="1" applyAlignment="1">
      <alignment horizontal="center" vertical="center" wrapText="1"/>
    </xf>
    <xf numFmtId="178" fontId="17" fillId="4" borderId="26" xfId="0" applyNumberFormat="1" applyFont="1" applyFill="1" applyBorder="1" applyAlignment="1">
      <alignment horizontal="right" vertical="center" wrapText="1"/>
    </xf>
    <xf numFmtId="10" fontId="17" fillId="4" borderId="26" xfId="67" applyNumberFormat="1" applyFont="1" applyFill="1" applyBorder="1" applyAlignment="1">
      <alignment horizontal="right" vertical="center" wrapText="1"/>
    </xf>
    <xf numFmtId="10" fontId="17" fillId="4" borderId="33" xfId="67" applyNumberFormat="1" applyFont="1" applyFill="1" applyBorder="1" applyAlignment="1">
      <alignment horizontal="right" vertical="center" wrapText="1"/>
    </xf>
    <xf numFmtId="0" fontId="28" fillId="0" borderId="28" xfId="0" applyFont="1" applyFill="1" applyBorder="1" applyAlignment="1">
      <alignment horizontal="center" vertical="center"/>
    </xf>
    <xf numFmtId="0" fontId="28" fillId="0" borderId="27" xfId="0" applyFont="1" applyFill="1" applyBorder="1" applyAlignment="1">
      <alignment horizontal="center" vertical="center"/>
    </xf>
    <xf numFmtId="0" fontId="23" fillId="0" borderId="27" xfId="0" applyFont="1" applyFill="1" applyBorder="1" applyAlignment="1">
      <alignment horizontal="center" vertical="center"/>
    </xf>
    <xf numFmtId="0" fontId="23" fillId="0" borderId="29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vertical="center" wrapText="1"/>
    </xf>
    <xf numFmtId="0" fontId="26" fillId="0" borderId="25" xfId="0" applyFont="1" applyFill="1" applyBorder="1" applyAlignment="1">
      <alignment vertical="center" wrapText="1"/>
    </xf>
    <xf numFmtId="49" fontId="18" fillId="0" borderId="25" xfId="0" applyNumberFormat="1" applyFont="1" applyFill="1" applyBorder="1" applyAlignment="1">
      <alignment horizontal="center" vertical="center" wrapText="1"/>
    </xf>
    <xf numFmtId="0" fontId="18" fillId="0" borderId="31" xfId="4" applyFont="1" applyFill="1" applyBorder="1" applyAlignment="1">
      <alignment vertical="center"/>
    </xf>
    <xf numFmtId="49" fontId="18" fillId="0" borderId="25" xfId="4" applyNumberFormat="1" applyFont="1" applyFill="1" applyBorder="1" applyAlignment="1">
      <alignment horizontal="center" vertical="center" wrapText="1"/>
    </xf>
    <xf numFmtId="0" fontId="18" fillId="0" borderId="25" xfId="4" applyFont="1" applyFill="1" applyBorder="1" applyAlignment="1">
      <alignment vertical="center" wrapText="1"/>
    </xf>
    <xf numFmtId="0" fontId="18" fillId="0" borderId="25" xfId="4" applyFont="1" applyFill="1" applyBorder="1" applyAlignment="1">
      <alignment horizontal="center" vertical="center"/>
    </xf>
    <xf numFmtId="0" fontId="18" fillId="0" borderId="25" xfId="4" applyFont="1" applyBorder="1" applyAlignment="1">
      <alignment vertical="center" wrapText="1"/>
    </xf>
    <xf numFmtId="0" fontId="18" fillId="0" borderId="32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 wrapText="1"/>
    </xf>
    <xf numFmtId="0" fontId="18" fillId="0" borderId="26" xfId="4" applyFont="1" applyFill="1" applyBorder="1" applyAlignment="1">
      <alignment vertical="center" wrapText="1"/>
    </xf>
    <xf numFmtId="0" fontId="18" fillId="0" borderId="26" xfId="4" applyFont="1" applyFill="1" applyBorder="1" applyAlignment="1">
      <alignment horizontal="center" vertical="center"/>
    </xf>
    <xf numFmtId="0" fontId="18" fillId="0" borderId="26" xfId="4" applyFont="1" applyFill="1" applyBorder="1" applyAlignment="1">
      <alignment vertical="center"/>
    </xf>
    <xf numFmtId="0" fontId="18" fillId="0" borderId="26" xfId="4" applyFont="1" applyBorder="1" applyAlignment="1">
      <alignment vertical="center" wrapText="1"/>
    </xf>
    <xf numFmtId="49" fontId="18" fillId="0" borderId="26" xfId="4" applyNumberFormat="1" applyFont="1" applyFill="1" applyBorder="1" applyAlignment="1">
      <alignment horizontal="center" vertical="center" wrapText="1"/>
    </xf>
    <xf numFmtId="0" fontId="18" fillId="0" borderId="33" xfId="4" applyFont="1" applyFill="1" applyBorder="1" applyAlignment="1">
      <alignment vertical="center"/>
    </xf>
    <xf numFmtId="0" fontId="26" fillId="0" borderId="25" xfId="0" applyFont="1" applyFill="1" applyBorder="1" applyAlignment="1">
      <alignment horizontal="left" vertical="top" wrapText="1"/>
    </xf>
    <xf numFmtId="49" fontId="15" fillId="0" borderId="25" xfId="0" applyNumberFormat="1" applyFont="1" applyFill="1" applyBorder="1" applyAlignment="1">
      <alignment horizontal="center" vertical="center" wrapText="1"/>
    </xf>
    <xf numFmtId="0" fontId="15" fillId="0" borderId="25" xfId="4" applyFont="1" applyFill="1" applyBorder="1" applyAlignment="1">
      <alignment vertical="center"/>
    </xf>
    <xf numFmtId="0" fontId="15" fillId="0" borderId="31" xfId="4" applyFont="1" applyFill="1" applyBorder="1" applyAlignment="1">
      <alignment vertical="center"/>
    </xf>
    <xf numFmtId="0" fontId="18" fillId="0" borderId="25" xfId="4" applyFont="1" applyBorder="1" applyAlignment="1">
      <alignment horizontal="left" vertical="center" wrapText="1"/>
    </xf>
    <xf numFmtId="49" fontId="15" fillId="0" borderId="25" xfId="4" applyNumberFormat="1" applyFont="1" applyFill="1" applyBorder="1" applyAlignment="1">
      <alignment horizontal="center" vertical="center" wrapText="1"/>
    </xf>
    <xf numFmtId="0" fontId="18" fillId="0" borderId="26" xfId="4" applyFont="1" applyFill="1" applyBorder="1" applyAlignment="1">
      <alignment horizontal="left" vertical="center" wrapText="1"/>
    </xf>
    <xf numFmtId="0" fontId="18" fillId="0" borderId="26" xfId="4" applyFont="1" applyBorder="1" applyAlignment="1">
      <alignment horizontal="left" vertical="center" wrapText="1"/>
    </xf>
    <xf numFmtId="49" fontId="15" fillId="0" borderId="26" xfId="4" applyNumberFormat="1" applyFont="1" applyFill="1" applyBorder="1" applyAlignment="1">
      <alignment horizontal="center" vertical="center" wrapText="1"/>
    </xf>
    <xf numFmtId="0" fontId="15" fillId="0" borderId="26" xfId="4" applyFont="1" applyFill="1" applyBorder="1" applyAlignment="1">
      <alignment vertical="center"/>
    </xf>
    <xf numFmtId="0" fontId="15" fillId="0" borderId="33" xfId="4" applyFont="1" applyFill="1" applyBorder="1" applyAlignment="1">
      <alignment vertical="center"/>
    </xf>
    <xf numFmtId="0" fontId="18" fillId="0" borderId="26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49" fontId="18" fillId="0" borderId="26" xfId="0" applyNumberFormat="1" applyFont="1" applyFill="1" applyBorder="1" applyAlignment="1">
      <alignment horizontal="center" vertical="center" wrapText="1"/>
    </xf>
    <xf numFmtId="49" fontId="15" fillId="0" borderId="26" xfId="0" applyNumberFormat="1" applyFont="1" applyFill="1" applyBorder="1" applyAlignment="1">
      <alignment horizontal="center" vertical="center" wrapText="1"/>
    </xf>
    <xf numFmtId="0" fontId="30" fillId="0" borderId="25" xfId="0" applyFont="1" applyFill="1" applyBorder="1" applyAlignment="1">
      <alignment vertical="center" wrapText="1"/>
    </xf>
    <xf numFmtId="0" fontId="26" fillId="0" borderId="25" xfId="0" applyFont="1" applyFill="1" applyBorder="1" applyAlignment="1">
      <alignment horizontal="left" vertical="center" wrapText="1"/>
    </xf>
    <xf numFmtId="0" fontId="26" fillId="0" borderId="25" xfId="0" quotePrefix="1" applyFont="1" applyFill="1" applyBorder="1" applyAlignment="1">
      <alignment horizontal="left" vertical="center" wrapText="1"/>
    </xf>
    <xf numFmtId="0" fontId="26" fillId="0" borderId="26" xfId="0" applyFont="1" applyFill="1" applyBorder="1" applyAlignment="1">
      <alignment horizontal="left" vertical="center" wrapText="1"/>
    </xf>
    <xf numFmtId="0" fontId="18" fillId="0" borderId="25" xfId="4" applyFont="1" applyFill="1" applyBorder="1" applyAlignment="1">
      <alignment horizontal="center" vertical="center" wrapText="1"/>
    </xf>
    <xf numFmtId="0" fontId="17" fillId="0" borderId="0" xfId="4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78" fontId="18" fillId="0" borderId="0" xfId="0" applyNumberFormat="1" applyFont="1" applyAlignment="1">
      <alignment horizontal="right" vertical="center" wrapText="1"/>
    </xf>
    <xf numFmtId="10" fontId="18" fillId="0" borderId="0" xfId="67" applyNumberFormat="1" applyFont="1">
      <alignment vertical="center"/>
    </xf>
    <xf numFmtId="0" fontId="25" fillId="4" borderId="0" xfId="0" applyFont="1" applyFill="1" applyAlignment="1">
      <alignment horizontal="center" vertical="center" wrapText="1"/>
    </xf>
    <xf numFmtId="178" fontId="25" fillId="4" borderId="0" xfId="0" applyNumberFormat="1" applyFont="1" applyFill="1" applyAlignment="1">
      <alignment vertical="center" wrapText="1"/>
    </xf>
    <xf numFmtId="0" fontId="25" fillId="4" borderId="0" xfId="0" applyFont="1" applyFill="1" applyAlignment="1">
      <alignment vertical="center" wrapText="1"/>
    </xf>
    <xf numFmtId="10" fontId="25" fillId="4" borderId="0" xfId="67" applyNumberFormat="1" applyFont="1" applyFill="1" applyAlignment="1">
      <alignment vertical="center" wrapText="1"/>
    </xf>
    <xf numFmtId="0" fontId="25" fillId="0" borderId="18" xfId="0" applyFont="1" applyBorder="1" applyAlignment="1">
      <alignment horizontal="center" vertical="center" wrapText="1"/>
    </xf>
    <xf numFmtId="178" fontId="17" fillId="0" borderId="18" xfId="0" applyNumberFormat="1" applyFont="1" applyBorder="1" applyAlignment="1">
      <alignment horizontal="right" vertical="center" wrapText="1"/>
    </xf>
    <xf numFmtId="10" fontId="17" fillId="0" borderId="18" xfId="67" applyNumberFormat="1" applyFont="1" applyBorder="1" applyAlignment="1">
      <alignment horizontal="right" vertical="center" wrapText="1"/>
    </xf>
    <xf numFmtId="0" fontId="25" fillId="0" borderId="16" xfId="0" applyFont="1" applyBorder="1" applyAlignment="1">
      <alignment horizontal="center" vertical="center" wrapText="1"/>
    </xf>
    <xf numFmtId="178" fontId="17" fillId="0" borderId="16" xfId="0" applyNumberFormat="1" applyFont="1" applyBorder="1" applyAlignment="1">
      <alignment horizontal="right" vertical="center" wrapText="1"/>
    </xf>
    <xf numFmtId="10" fontId="17" fillId="0" borderId="16" xfId="67" applyNumberFormat="1" applyFont="1" applyBorder="1" applyAlignment="1">
      <alignment horizontal="right" vertical="center" wrapText="1"/>
    </xf>
    <xf numFmtId="0" fontId="15" fillId="0" borderId="16" xfId="4" applyFont="1" applyFill="1" applyBorder="1" applyAlignment="1">
      <alignment horizontal="center" vertical="center"/>
    </xf>
    <xf numFmtId="0" fontId="17" fillId="0" borderId="28" xfId="4" applyFont="1" applyBorder="1" applyAlignment="1">
      <alignment horizontal="center" vertical="center"/>
    </xf>
    <xf numFmtId="0" fontId="17" fillId="0" borderId="27" xfId="4" applyFont="1" applyBorder="1" applyAlignment="1">
      <alignment horizontal="center" vertical="center"/>
    </xf>
    <xf numFmtId="0" fontId="17" fillId="0" borderId="29" xfId="4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 wrapText="1"/>
    </xf>
    <xf numFmtId="178" fontId="18" fillId="0" borderId="25" xfId="0" applyNumberFormat="1" applyFont="1" applyBorder="1" applyAlignment="1">
      <alignment horizontal="right" vertical="center" wrapText="1"/>
    </xf>
    <xf numFmtId="0" fontId="18" fillId="0" borderId="25" xfId="4" applyFont="1" applyBorder="1" applyAlignment="1">
      <alignment vertical="center"/>
    </xf>
    <xf numFmtId="10" fontId="18" fillId="0" borderId="25" xfId="67" applyNumberFormat="1" applyFont="1" applyBorder="1">
      <alignment vertical="center"/>
    </xf>
    <xf numFmtId="10" fontId="18" fillId="0" borderId="31" xfId="67" applyNumberFormat="1" applyFont="1" applyBorder="1">
      <alignment vertical="center"/>
    </xf>
    <xf numFmtId="178" fontId="25" fillId="4" borderId="26" xfId="0" applyNumberFormat="1" applyFont="1" applyFill="1" applyBorder="1" applyAlignment="1">
      <alignment vertical="center" wrapText="1"/>
    </xf>
    <xf numFmtId="0" fontId="25" fillId="4" borderId="26" xfId="0" applyFont="1" applyFill="1" applyBorder="1" applyAlignment="1">
      <alignment vertical="center" wrapText="1"/>
    </xf>
    <xf numFmtId="10" fontId="25" fillId="4" borderId="26" xfId="67" applyNumberFormat="1" applyFont="1" applyFill="1" applyBorder="1" applyAlignment="1">
      <alignment vertical="center" wrapText="1"/>
    </xf>
    <xf numFmtId="10" fontId="25" fillId="4" borderId="33" xfId="67" applyNumberFormat="1" applyFont="1" applyFill="1" applyBorder="1" applyAlignment="1">
      <alignment vertical="center" wrapText="1"/>
    </xf>
  </cellXfs>
  <cellStyles count="70">
    <cellStyle name="계산" xfId="68" builtinId="22"/>
    <cellStyle name="메모" xfId="69" builtinId="10"/>
    <cellStyle name="백분율" xfId="67" builtinId="5"/>
    <cellStyle name="표준" xfId="0" builtinId="0"/>
    <cellStyle name="표준 10" xfId="1" xr:uid="{00000000-0005-0000-0000-000001000000}"/>
    <cellStyle name="표준 10 2" xfId="2" xr:uid="{00000000-0005-0000-0000-000002000000}"/>
    <cellStyle name="표준 10 2 2" xfId="3" xr:uid="{00000000-0005-0000-0000-000003000000}"/>
    <cellStyle name="표준 2" xfId="4" xr:uid="{00000000-0005-0000-0000-000004000000}"/>
    <cellStyle name="표준 2 2" xfId="5" xr:uid="{00000000-0005-0000-0000-000005000000}"/>
    <cellStyle name="표준 2 2 2" xfId="6" xr:uid="{00000000-0005-0000-0000-000006000000}"/>
    <cellStyle name="표준 2 2 2 2" xfId="7" xr:uid="{00000000-0005-0000-0000-000007000000}"/>
    <cellStyle name="표준 2 2 2 2 2" xfId="8" xr:uid="{00000000-0005-0000-0000-000008000000}"/>
    <cellStyle name="표준 2 2 2 2 3" xfId="9" xr:uid="{00000000-0005-0000-0000-000009000000}"/>
    <cellStyle name="표준 2 2 2 3" xfId="10" xr:uid="{00000000-0005-0000-0000-00000A000000}"/>
    <cellStyle name="표준 2 2 2 4" xfId="11" xr:uid="{00000000-0005-0000-0000-00000B000000}"/>
    <cellStyle name="표준 2 2 3" xfId="12" xr:uid="{00000000-0005-0000-0000-00000C000000}"/>
    <cellStyle name="표준 2 2 3 2" xfId="13" xr:uid="{00000000-0005-0000-0000-00000D000000}"/>
    <cellStyle name="표준 2 2 3 2 2" xfId="14" xr:uid="{00000000-0005-0000-0000-00000E000000}"/>
    <cellStyle name="표준 2 2 3 2 3" xfId="15" xr:uid="{00000000-0005-0000-0000-00000F000000}"/>
    <cellStyle name="표준 2 2 3 3" xfId="16" xr:uid="{00000000-0005-0000-0000-000010000000}"/>
    <cellStyle name="표준 2 2 3 4" xfId="17" xr:uid="{00000000-0005-0000-0000-000011000000}"/>
    <cellStyle name="표준 2 2 4" xfId="18" xr:uid="{00000000-0005-0000-0000-000012000000}"/>
    <cellStyle name="표준 2 2 5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3 2 2" xfId="22" xr:uid="{00000000-0005-0000-0000-000016000000}"/>
    <cellStyle name="표준 2 3 2 3" xfId="23" xr:uid="{00000000-0005-0000-0000-000017000000}"/>
    <cellStyle name="표준 2 3 3" xfId="24" xr:uid="{00000000-0005-0000-0000-000018000000}"/>
    <cellStyle name="표준 2 3 3 2" xfId="25" xr:uid="{00000000-0005-0000-0000-000019000000}"/>
    <cellStyle name="표준 2 3 4" xfId="26" xr:uid="{00000000-0005-0000-0000-00001A000000}"/>
    <cellStyle name="표준 2 3 5" xfId="27" xr:uid="{00000000-0005-0000-0000-00001B000000}"/>
    <cellStyle name="표준 2 4" xfId="28" xr:uid="{00000000-0005-0000-0000-00001C000000}"/>
    <cellStyle name="표준 2 4 2" xfId="29" xr:uid="{00000000-0005-0000-0000-00001D000000}"/>
    <cellStyle name="표준 2 4 2 2" xfId="30" xr:uid="{00000000-0005-0000-0000-00001E000000}"/>
    <cellStyle name="표준 2 4 2 3" xfId="31" xr:uid="{00000000-0005-0000-0000-00001F000000}"/>
    <cellStyle name="표준 2 4 3" xfId="32" xr:uid="{00000000-0005-0000-0000-000020000000}"/>
    <cellStyle name="표준 2 4 4" xfId="33" xr:uid="{00000000-0005-0000-0000-000021000000}"/>
    <cellStyle name="표준 2 5" xfId="34" xr:uid="{00000000-0005-0000-0000-000022000000}"/>
    <cellStyle name="표준 2 5 2" xfId="35" xr:uid="{00000000-0005-0000-0000-000023000000}"/>
    <cellStyle name="표준 2 5 3" xfId="36" xr:uid="{00000000-0005-0000-0000-000024000000}"/>
    <cellStyle name="표준 2 6" xfId="37" xr:uid="{00000000-0005-0000-0000-000025000000}"/>
    <cellStyle name="표준 2 6 2" xfId="38" xr:uid="{00000000-0005-0000-0000-000026000000}"/>
    <cellStyle name="표준 2 7" xfId="39" xr:uid="{00000000-0005-0000-0000-000027000000}"/>
    <cellStyle name="표준 2 8" xfId="40" xr:uid="{00000000-0005-0000-0000-000028000000}"/>
    <cellStyle name="표준 3" xfId="41" xr:uid="{00000000-0005-0000-0000-000029000000}"/>
    <cellStyle name="표준 3 2" xfId="42" xr:uid="{00000000-0005-0000-0000-00002A000000}"/>
    <cellStyle name="표준 3 3" xfId="43" xr:uid="{00000000-0005-0000-0000-00002B000000}"/>
    <cellStyle name="표준 3 4" xfId="44" xr:uid="{00000000-0005-0000-0000-00002C000000}"/>
    <cellStyle name="표준 4" xfId="45" xr:uid="{00000000-0005-0000-0000-00002D000000}"/>
    <cellStyle name="표준 4 2" xfId="46" xr:uid="{00000000-0005-0000-0000-00002E000000}"/>
    <cellStyle name="표준 4 2 2" xfId="47" xr:uid="{00000000-0005-0000-0000-00002F000000}"/>
    <cellStyle name="표준 4 2 3" xfId="48" xr:uid="{00000000-0005-0000-0000-000030000000}"/>
    <cellStyle name="표준 4 2 4" xfId="49" xr:uid="{00000000-0005-0000-0000-000031000000}"/>
    <cellStyle name="표준 4 3" xfId="50" xr:uid="{00000000-0005-0000-0000-000032000000}"/>
    <cellStyle name="표준 4 4" xfId="51" xr:uid="{00000000-0005-0000-0000-000033000000}"/>
    <cellStyle name="표준 5" xfId="52" xr:uid="{00000000-0005-0000-0000-000034000000}"/>
    <cellStyle name="표준 5 2" xfId="53" xr:uid="{00000000-0005-0000-0000-000035000000}"/>
    <cellStyle name="표준 5 3" xfId="54" xr:uid="{00000000-0005-0000-0000-000036000000}"/>
    <cellStyle name="표준 5 4" xfId="55" xr:uid="{00000000-0005-0000-0000-000037000000}"/>
    <cellStyle name="표준 6" xfId="56" xr:uid="{00000000-0005-0000-0000-000038000000}"/>
    <cellStyle name="표준 6 10" xfId="57" xr:uid="{00000000-0005-0000-0000-000039000000}"/>
    <cellStyle name="표준 7" xfId="58" xr:uid="{00000000-0005-0000-0000-00003A000000}"/>
    <cellStyle name="표준 7 2" xfId="59" xr:uid="{00000000-0005-0000-0000-00003B000000}"/>
    <cellStyle name="표준 8" xfId="60" xr:uid="{00000000-0005-0000-0000-00003C000000}"/>
    <cellStyle name="표준 9" xfId="61" xr:uid="{00000000-0005-0000-0000-00003D000000}"/>
    <cellStyle name="표준_IA 사이트구조도_Index_20021209_사이트리뉴얼_허윤희" xfId="66" xr:uid="{00000000-0005-0000-0000-00003E000000}"/>
    <cellStyle name="표준_PMC_이슈_Action Item 관리대장_v2.0" xfId="62" xr:uid="{00000000-0005-0000-0000-00003F000000}"/>
    <cellStyle name="하이퍼링크 2" xfId="63" xr:uid="{00000000-0005-0000-0000-000040000000}"/>
    <cellStyle name="하이퍼링크 2 2" xfId="64" xr:uid="{00000000-0005-0000-0000-000041000000}"/>
    <cellStyle name="하이퍼링크 2 3" xfId="65" xr:uid="{00000000-0005-0000-0000-000042000000}"/>
  </cellStyles>
  <dxfs count="3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0.14996795556505021"/>
        </patternFill>
      </fill>
    </dxf>
    <dxf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표 스타일 1" defaultPivotStyle="PivotStyleLight16">
    <tableStyle name="표 스타일 1" pivot="0" count="3" xr9:uid="{31611E4E-8E5F-4651-9852-8B822E20796C}">
      <tableStyleElement type="wholeTable" dxfId="299"/>
      <tableStyleElement type="headerRow" dxfId="298"/>
      <tableStyleElement type="firstColumnStripe" dxfId="29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3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3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344979</xdr:colOff>
      <xdr:row>8</xdr:row>
      <xdr:rowOff>11084</xdr:rowOff>
    </xdr:from>
    <xdr:to>
      <xdr:col>7</xdr:col>
      <xdr:colOff>344979</xdr:colOff>
      <xdr:row>10</xdr:row>
      <xdr:rowOff>101139</xdr:rowOff>
    </xdr:to>
    <xdr:sp macro="" textlink="">
      <xdr:nvSpPr>
        <xdr:cNvPr id="9" name="Line 7">
          <a:extLst>
            <a:ext uri="{FF2B5EF4-FFF2-40B4-BE49-F238E27FC236}">
              <a16:creationId xmlns:a16="http://schemas.microsoft.com/office/drawing/2014/main" id="{86125325-E5CF-4359-9C0F-BA6A69886908}"/>
            </a:ext>
          </a:extLst>
        </xdr:cNvPr>
        <xdr:cNvSpPr>
          <a:spLocks noChangeShapeType="1"/>
        </xdr:cNvSpPr>
      </xdr:nvSpPr>
      <xdr:spPr bwMode="auto">
        <a:xfrm>
          <a:off x="4476404" y="1241368"/>
          <a:ext cx="0" cy="422564"/>
        </a:xfrm>
        <a:prstGeom prst="line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357612</xdr:colOff>
      <xdr:row>6</xdr:row>
      <xdr:rowOff>49876</xdr:rowOff>
    </xdr:from>
    <xdr:ext cx="3867597" cy="1141843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CC414E7-D5B2-4391-B25F-DDC96EEC4281}"/>
            </a:ext>
          </a:extLst>
        </xdr:cNvPr>
        <xdr:cNvSpPr txBox="1">
          <a:spLocks noChangeArrowheads="1"/>
        </xdr:cNvSpPr>
      </xdr:nvSpPr>
      <xdr:spPr bwMode="auto">
        <a:xfrm>
          <a:off x="357612" y="947651"/>
          <a:ext cx="3867597" cy="11418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118800" rIns="91440" bIns="45720" anchor="t" upright="1">
          <a:spAutoFit/>
        </a:bodyPr>
        <a:lstStyle/>
        <a:p>
          <a:pPr algn="r" rtl="1">
            <a:defRPr sz="1000"/>
          </a:pP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통합테스트 시나리오 및 결과서</a:t>
          </a:r>
        </a:p>
        <a:p>
          <a:pPr algn="r" rtl="1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/>
            </a:rPr>
            <a:t>3TOP Project Management Methodology</a:t>
          </a:r>
        </a:p>
        <a:p>
          <a:pPr algn="r" rtl="1">
            <a:defRPr sz="1000"/>
          </a:pPr>
          <a:endParaRPr lang="en-US" altLang="ko-KR" sz="1200" b="0" i="0" strike="noStrike">
            <a:solidFill>
              <a:srgbClr val="000000"/>
            </a:solidFill>
            <a:latin typeface="나눔고딕 ExtraBold" pitchFamily="50" charset="-127"/>
            <a:ea typeface="나눔고딕 ExtraBold" pitchFamily="50" charset="-127"/>
            <a:cs typeface="Arial"/>
          </a:endParaRPr>
        </a:p>
      </xdr:txBody>
    </xdr:sp>
    <xdr:clientData/>
  </xdr:oneCellAnchor>
  <xdr:twoCellAnchor>
    <xdr:from>
      <xdr:col>7</xdr:col>
      <xdr:colOff>570808</xdr:colOff>
      <xdr:row>8</xdr:row>
      <xdr:rowOff>133176</xdr:rowOff>
    </xdr:from>
    <xdr:to>
      <xdr:col>9</xdr:col>
      <xdr:colOff>370783</xdr:colOff>
      <xdr:row>12</xdr:row>
      <xdr:rowOff>85551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9A0E6239-B912-4FFA-9A67-9A40F23A2635}"/>
            </a:ext>
          </a:extLst>
        </xdr:cNvPr>
        <xdr:cNvSpPr txBox="1">
          <a:spLocks noChangeArrowheads="1"/>
        </xdr:cNvSpPr>
      </xdr:nvSpPr>
      <xdr:spPr bwMode="auto">
        <a:xfrm>
          <a:off x="4702233" y="1363460"/>
          <a:ext cx="980383" cy="6173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73152" tIns="54864" rIns="0" bIns="0" anchor="t" upright="1"/>
        <a:lstStyle/>
        <a:p>
          <a:pPr algn="l" rtl="0">
            <a:defRPr sz="1000"/>
          </a:pPr>
          <a:r>
            <a:rPr lang="en-US" altLang="ko-KR" sz="1600" b="0" i="0" strike="noStrike">
              <a:solidFill>
                <a:srgbClr val="808080"/>
              </a:solidFill>
              <a:latin typeface="나눔고딕" pitchFamily="50" charset="-127"/>
              <a:ea typeface="나눔고딕" pitchFamily="50" charset="-127"/>
            </a:rPr>
            <a:t>v0.20</a:t>
          </a:r>
        </a:p>
      </xdr:txBody>
    </xdr:sp>
    <xdr:clientData/>
  </xdr:twoCellAnchor>
  <xdr:twoCellAnchor editAs="oneCell">
    <xdr:from>
      <xdr:col>1</xdr:col>
      <xdr:colOff>0</xdr:colOff>
      <xdr:row>1</xdr:row>
      <xdr:rowOff>38100</xdr:rowOff>
    </xdr:from>
    <xdr:to>
      <xdr:col>2</xdr:col>
      <xdr:colOff>104775</xdr:colOff>
      <xdr:row>3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F70070-1F88-4AC9-A9D5-2F717005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866775" cy="266700"/>
        </a:xfrm>
        <a:prstGeom prst="rect">
          <a:avLst/>
        </a:prstGeom>
      </xdr:spPr>
    </xdr:pic>
    <xdr:clientData/>
  </xdr:twoCellAnchor>
  <xdr:twoCellAnchor>
    <xdr:from>
      <xdr:col>8</xdr:col>
      <xdr:colOff>171449</xdr:colOff>
      <xdr:row>27</xdr:row>
      <xdr:rowOff>85725</xdr:rowOff>
    </xdr:from>
    <xdr:to>
      <xdr:col>9</xdr:col>
      <xdr:colOff>15239</xdr:colOff>
      <xdr:row>28</xdr:row>
      <xdr:rowOff>108585</xdr:rowOff>
    </xdr:to>
    <xdr:pic>
      <xdr:nvPicPr>
        <xdr:cNvPr id="15" name="그림 14" descr="3top_logo">
          <a:extLst>
            <a:ext uri="{FF2B5EF4-FFF2-40B4-BE49-F238E27FC236}">
              <a16:creationId xmlns:a16="http://schemas.microsoft.com/office/drawing/2014/main" id="{3762C36A-CE35-42D5-821D-A379DCE8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49" y="6334125"/>
          <a:ext cx="605790" cy="19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8</xdr:col>
          <xdr:colOff>19050</xdr:colOff>
          <xdr:row>3</xdr:row>
          <xdr:rowOff>95250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A4A10E53-A782-4BFC-80E7-525CFF35DA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551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99172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185478</xdr:colOff>
      <xdr:row>1</xdr:row>
      <xdr:rowOff>76200</xdr:rowOff>
    </xdr:from>
    <xdr:to>
      <xdr:col>0</xdr:col>
      <xdr:colOff>944187</xdr:colOff>
      <xdr:row>2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380043-3348-4F47-81F5-17D4D3F5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78" y="417022"/>
          <a:ext cx="758709" cy="2649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12</xdr:col>
          <xdr:colOff>771525</xdr:colOff>
          <xdr:row>0</xdr:row>
          <xdr:rowOff>781050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60EE97C1-4FAD-494C-9269-5FF661F7E0E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879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8600" y="0"/>
              <a:ext cx="999172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6</xdr:col>
          <xdr:colOff>19050</xdr:colOff>
          <xdr:row>4</xdr:row>
          <xdr:rowOff>95250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19A478C-BF94-4E2E-90CB-3926DE24630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26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999172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249384</xdr:colOff>
      <xdr:row>5</xdr:row>
      <xdr:rowOff>99751</xdr:rowOff>
    </xdr:from>
    <xdr:to>
      <xdr:col>10</xdr:col>
      <xdr:colOff>546106</xdr:colOff>
      <xdr:row>30</xdr:row>
      <xdr:rowOff>29868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A1273C13-BC6F-4AE1-B645-E7CF2A2BB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124" y="2180011"/>
          <a:ext cx="8267242" cy="4883117"/>
        </a:xfrm>
        <a:prstGeom prst="rect">
          <a:avLst/>
        </a:prstGeom>
      </xdr:spPr>
    </xdr:pic>
    <xdr:clientData/>
  </xdr:twoCellAnchor>
  <xdr:twoCellAnchor>
    <xdr:from>
      <xdr:col>2</xdr:col>
      <xdr:colOff>508509</xdr:colOff>
      <xdr:row>27</xdr:row>
      <xdr:rowOff>79687</xdr:rowOff>
    </xdr:from>
    <xdr:to>
      <xdr:col>2</xdr:col>
      <xdr:colOff>674109</xdr:colOff>
      <xdr:row>28</xdr:row>
      <xdr:rowOff>47167</xdr:rowOff>
    </xdr:to>
    <xdr:sp macro="" textlink="">
      <xdr:nvSpPr>
        <xdr:cNvPr id="226" name="Oval 340">
          <a:extLst>
            <a:ext uri="{FF2B5EF4-FFF2-40B4-BE49-F238E27FC236}">
              <a16:creationId xmlns:a16="http://schemas.microsoft.com/office/drawing/2014/main" id="{21046CEC-1BF7-4848-845F-10376C320E55}"/>
            </a:ext>
          </a:extLst>
        </xdr:cNvPr>
        <xdr:cNvSpPr>
          <a:spLocks noChangeArrowheads="1"/>
        </xdr:cNvSpPr>
      </xdr:nvSpPr>
      <xdr:spPr bwMode="auto">
        <a:xfrm>
          <a:off x="1095249" y="651858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9</a:t>
          </a:r>
        </a:p>
      </xdr:txBody>
    </xdr:sp>
    <xdr:clientData/>
  </xdr:twoCellAnchor>
  <xdr:twoCellAnchor>
    <xdr:from>
      <xdr:col>2</xdr:col>
      <xdr:colOff>508509</xdr:colOff>
      <xdr:row>11</xdr:row>
      <xdr:rowOff>51023</xdr:rowOff>
    </xdr:from>
    <xdr:to>
      <xdr:col>2</xdr:col>
      <xdr:colOff>674109</xdr:colOff>
      <xdr:row>12</xdr:row>
      <xdr:rowOff>18503</xdr:rowOff>
    </xdr:to>
    <xdr:sp macro="" textlink="">
      <xdr:nvSpPr>
        <xdr:cNvPr id="234" name="Oval 340">
          <a:extLst>
            <a:ext uri="{FF2B5EF4-FFF2-40B4-BE49-F238E27FC236}">
              <a16:creationId xmlns:a16="http://schemas.microsoft.com/office/drawing/2014/main" id="{982A20F4-082C-4EF1-A488-509A2298269C}"/>
            </a:ext>
          </a:extLst>
        </xdr:cNvPr>
        <xdr:cNvSpPr>
          <a:spLocks noChangeArrowheads="1"/>
        </xdr:cNvSpPr>
      </xdr:nvSpPr>
      <xdr:spPr bwMode="auto">
        <a:xfrm>
          <a:off x="1095249" y="332000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2</a:t>
          </a:r>
        </a:p>
      </xdr:txBody>
    </xdr:sp>
    <xdr:clientData/>
  </xdr:twoCellAnchor>
  <xdr:twoCellAnchor>
    <xdr:from>
      <xdr:col>2</xdr:col>
      <xdr:colOff>508489</xdr:colOff>
      <xdr:row>9</xdr:row>
      <xdr:rowOff>102702</xdr:rowOff>
    </xdr:from>
    <xdr:to>
      <xdr:col>2</xdr:col>
      <xdr:colOff>674089</xdr:colOff>
      <xdr:row>10</xdr:row>
      <xdr:rowOff>70182</xdr:rowOff>
    </xdr:to>
    <xdr:sp macro="" textlink="">
      <xdr:nvSpPr>
        <xdr:cNvPr id="224" name="Oval 340">
          <a:extLst>
            <a:ext uri="{FF2B5EF4-FFF2-40B4-BE49-F238E27FC236}">
              <a16:creationId xmlns:a16="http://schemas.microsoft.com/office/drawing/2014/main" id="{82FB8AA8-D6CA-46EA-AA04-E158E5ADCADB}"/>
            </a:ext>
          </a:extLst>
        </xdr:cNvPr>
        <xdr:cNvSpPr>
          <a:spLocks noChangeArrowheads="1"/>
        </xdr:cNvSpPr>
      </xdr:nvSpPr>
      <xdr:spPr bwMode="auto">
        <a:xfrm>
          <a:off x="1095229" y="2975442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  <xdr:twoCellAnchor>
    <xdr:from>
      <xdr:col>2</xdr:col>
      <xdr:colOff>508489</xdr:colOff>
      <xdr:row>12</xdr:row>
      <xdr:rowOff>143113</xdr:rowOff>
    </xdr:from>
    <xdr:to>
      <xdr:col>2</xdr:col>
      <xdr:colOff>674089</xdr:colOff>
      <xdr:row>13</xdr:row>
      <xdr:rowOff>110593</xdr:rowOff>
    </xdr:to>
    <xdr:sp macro="" textlink="">
      <xdr:nvSpPr>
        <xdr:cNvPr id="231" name="Oval 340">
          <a:extLst>
            <a:ext uri="{FF2B5EF4-FFF2-40B4-BE49-F238E27FC236}">
              <a16:creationId xmlns:a16="http://schemas.microsoft.com/office/drawing/2014/main" id="{F587AB85-C984-4FD2-9772-7BCD3D142DED}"/>
            </a:ext>
          </a:extLst>
        </xdr:cNvPr>
        <xdr:cNvSpPr>
          <a:spLocks noChangeArrowheads="1"/>
        </xdr:cNvSpPr>
      </xdr:nvSpPr>
      <xdr:spPr bwMode="auto">
        <a:xfrm>
          <a:off x="1095229" y="361021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3</a:t>
          </a:r>
        </a:p>
      </xdr:txBody>
    </xdr:sp>
    <xdr:clientData/>
  </xdr:twoCellAnchor>
  <xdr:twoCellAnchor>
    <xdr:from>
      <xdr:col>2</xdr:col>
      <xdr:colOff>508489</xdr:colOff>
      <xdr:row>15</xdr:row>
      <xdr:rowOff>56669</xdr:rowOff>
    </xdr:from>
    <xdr:to>
      <xdr:col>2</xdr:col>
      <xdr:colOff>674089</xdr:colOff>
      <xdr:row>16</xdr:row>
      <xdr:rowOff>24149</xdr:rowOff>
    </xdr:to>
    <xdr:sp macro="" textlink="">
      <xdr:nvSpPr>
        <xdr:cNvPr id="232" name="Oval 340">
          <a:extLst>
            <a:ext uri="{FF2B5EF4-FFF2-40B4-BE49-F238E27FC236}">
              <a16:creationId xmlns:a16="http://schemas.microsoft.com/office/drawing/2014/main" id="{1893106E-3AE5-4ED1-972B-DB073FD51B15}"/>
            </a:ext>
          </a:extLst>
        </xdr:cNvPr>
        <xdr:cNvSpPr>
          <a:spLocks noChangeArrowheads="1"/>
        </xdr:cNvSpPr>
      </xdr:nvSpPr>
      <xdr:spPr bwMode="auto">
        <a:xfrm>
          <a:off x="1095229" y="411812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5</a:t>
          </a:r>
        </a:p>
      </xdr:txBody>
    </xdr:sp>
    <xdr:clientData/>
  </xdr:twoCellAnchor>
  <xdr:twoCellAnchor>
    <xdr:from>
      <xdr:col>2</xdr:col>
      <xdr:colOff>508489</xdr:colOff>
      <xdr:row>25</xdr:row>
      <xdr:rowOff>91429</xdr:rowOff>
    </xdr:from>
    <xdr:to>
      <xdr:col>2</xdr:col>
      <xdr:colOff>674089</xdr:colOff>
      <xdr:row>26</xdr:row>
      <xdr:rowOff>58909</xdr:rowOff>
    </xdr:to>
    <xdr:sp macro="" textlink="">
      <xdr:nvSpPr>
        <xdr:cNvPr id="233" name="Oval 340">
          <a:extLst>
            <a:ext uri="{FF2B5EF4-FFF2-40B4-BE49-F238E27FC236}">
              <a16:creationId xmlns:a16="http://schemas.microsoft.com/office/drawing/2014/main" id="{C73DA8F4-E69E-4BC0-9C15-AD925DC9F49E}"/>
            </a:ext>
          </a:extLst>
        </xdr:cNvPr>
        <xdr:cNvSpPr>
          <a:spLocks noChangeArrowheads="1"/>
        </xdr:cNvSpPr>
      </xdr:nvSpPr>
      <xdr:spPr bwMode="auto">
        <a:xfrm>
          <a:off x="1095229" y="613408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8</a:t>
          </a:r>
        </a:p>
      </xdr:txBody>
    </xdr:sp>
    <xdr:clientData/>
  </xdr:twoCellAnchor>
  <xdr:twoCellAnchor>
    <xdr:from>
      <xdr:col>2</xdr:col>
      <xdr:colOff>508489</xdr:colOff>
      <xdr:row>19</xdr:row>
      <xdr:rowOff>50966</xdr:rowOff>
    </xdr:from>
    <xdr:to>
      <xdr:col>2</xdr:col>
      <xdr:colOff>674089</xdr:colOff>
      <xdr:row>20</xdr:row>
      <xdr:rowOff>18446</xdr:rowOff>
    </xdr:to>
    <xdr:sp macro="" textlink="">
      <xdr:nvSpPr>
        <xdr:cNvPr id="237" name="Oval 340">
          <a:extLst>
            <a:ext uri="{FF2B5EF4-FFF2-40B4-BE49-F238E27FC236}">
              <a16:creationId xmlns:a16="http://schemas.microsoft.com/office/drawing/2014/main" id="{9615B971-8091-4F90-8CC9-23321A22F416}"/>
            </a:ext>
          </a:extLst>
        </xdr:cNvPr>
        <xdr:cNvSpPr>
          <a:spLocks noChangeArrowheads="1"/>
        </xdr:cNvSpPr>
      </xdr:nvSpPr>
      <xdr:spPr bwMode="auto">
        <a:xfrm>
          <a:off x="1095229" y="490490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7</a:t>
          </a:r>
        </a:p>
      </xdr:txBody>
    </xdr:sp>
    <xdr:clientData/>
  </xdr:twoCellAnchor>
  <xdr:twoCellAnchor>
    <xdr:from>
      <xdr:col>8</xdr:col>
      <xdr:colOff>136941</xdr:colOff>
      <xdr:row>27</xdr:row>
      <xdr:rowOff>33824</xdr:rowOff>
    </xdr:from>
    <xdr:to>
      <xdr:col>8</xdr:col>
      <xdr:colOff>302541</xdr:colOff>
      <xdr:row>28</xdr:row>
      <xdr:rowOff>1304</xdr:rowOff>
    </xdr:to>
    <xdr:sp macro="" textlink="">
      <xdr:nvSpPr>
        <xdr:cNvPr id="227" name="Oval 340">
          <a:extLst>
            <a:ext uri="{FF2B5EF4-FFF2-40B4-BE49-F238E27FC236}">
              <a16:creationId xmlns:a16="http://schemas.microsoft.com/office/drawing/2014/main" id="{94EAC53F-1739-415F-9C74-BACBB65CA313}"/>
            </a:ext>
          </a:extLst>
        </xdr:cNvPr>
        <xdr:cNvSpPr>
          <a:spLocks noChangeArrowheads="1"/>
        </xdr:cNvSpPr>
      </xdr:nvSpPr>
      <xdr:spPr bwMode="auto">
        <a:xfrm>
          <a:off x="5554761" y="647272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17</a:t>
          </a:r>
        </a:p>
      </xdr:txBody>
    </xdr:sp>
    <xdr:clientData/>
  </xdr:twoCellAnchor>
  <xdr:twoCellAnchor>
    <xdr:from>
      <xdr:col>8</xdr:col>
      <xdr:colOff>337593</xdr:colOff>
      <xdr:row>25</xdr:row>
      <xdr:rowOff>91155</xdr:rowOff>
    </xdr:from>
    <xdr:to>
      <xdr:col>8</xdr:col>
      <xdr:colOff>503193</xdr:colOff>
      <xdr:row>26</xdr:row>
      <xdr:rowOff>58635</xdr:rowOff>
    </xdr:to>
    <xdr:sp macro="" textlink="">
      <xdr:nvSpPr>
        <xdr:cNvPr id="242" name="Oval 340">
          <a:extLst>
            <a:ext uri="{FF2B5EF4-FFF2-40B4-BE49-F238E27FC236}">
              <a16:creationId xmlns:a16="http://schemas.microsoft.com/office/drawing/2014/main" id="{D4E26F34-1AEA-4508-9FDB-515DB44F573B}"/>
            </a:ext>
          </a:extLst>
        </xdr:cNvPr>
        <xdr:cNvSpPr>
          <a:spLocks noChangeArrowheads="1"/>
        </xdr:cNvSpPr>
      </xdr:nvSpPr>
      <xdr:spPr bwMode="auto">
        <a:xfrm>
          <a:off x="5755413" y="613381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16</a:t>
          </a:r>
        </a:p>
      </xdr:txBody>
    </xdr:sp>
    <xdr:clientData/>
  </xdr:twoCellAnchor>
  <xdr:twoCellAnchor>
    <xdr:from>
      <xdr:col>8</xdr:col>
      <xdr:colOff>329528</xdr:colOff>
      <xdr:row>9</xdr:row>
      <xdr:rowOff>85403</xdr:rowOff>
    </xdr:from>
    <xdr:to>
      <xdr:col>8</xdr:col>
      <xdr:colOff>495128</xdr:colOff>
      <xdr:row>10</xdr:row>
      <xdr:rowOff>52883</xdr:rowOff>
    </xdr:to>
    <xdr:sp macro="" textlink="">
      <xdr:nvSpPr>
        <xdr:cNvPr id="225" name="Oval 340">
          <a:extLst>
            <a:ext uri="{FF2B5EF4-FFF2-40B4-BE49-F238E27FC236}">
              <a16:creationId xmlns:a16="http://schemas.microsoft.com/office/drawing/2014/main" id="{D00ABE91-1534-4CB6-8764-40F075D7B008}"/>
            </a:ext>
          </a:extLst>
        </xdr:cNvPr>
        <xdr:cNvSpPr>
          <a:spLocks noChangeArrowheads="1"/>
        </xdr:cNvSpPr>
      </xdr:nvSpPr>
      <xdr:spPr bwMode="auto">
        <a:xfrm>
          <a:off x="5747348" y="295814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10</a:t>
          </a:r>
        </a:p>
      </xdr:txBody>
    </xdr:sp>
    <xdr:clientData/>
  </xdr:twoCellAnchor>
  <xdr:twoCellAnchor>
    <xdr:from>
      <xdr:col>5</xdr:col>
      <xdr:colOff>235134</xdr:colOff>
      <xdr:row>11</xdr:row>
      <xdr:rowOff>33538</xdr:rowOff>
    </xdr:from>
    <xdr:to>
      <xdr:col>5</xdr:col>
      <xdr:colOff>400734</xdr:colOff>
      <xdr:row>12</xdr:row>
      <xdr:rowOff>1018</xdr:rowOff>
    </xdr:to>
    <xdr:sp macro="" textlink="">
      <xdr:nvSpPr>
        <xdr:cNvPr id="235" name="Oval 340">
          <a:extLst>
            <a:ext uri="{FF2B5EF4-FFF2-40B4-BE49-F238E27FC236}">
              <a16:creationId xmlns:a16="http://schemas.microsoft.com/office/drawing/2014/main" id="{07DCBB5A-559D-4995-A77B-85AB550AD5BA}"/>
            </a:ext>
          </a:extLst>
        </xdr:cNvPr>
        <xdr:cNvSpPr>
          <a:spLocks noChangeArrowheads="1"/>
        </xdr:cNvSpPr>
      </xdr:nvSpPr>
      <xdr:spPr bwMode="auto">
        <a:xfrm>
          <a:off x="3382194" y="330251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4</a:t>
          </a:r>
        </a:p>
      </xdr:txBody>
    </xdr:sp>
    <xdr:clientData/>
  </xdr:twoCellAnchor>
  <xdr:twoCellAnchor>
    <xdr:from>
      <xdr:col>7</xdr:col>
      <xdr:colOff>281900</xdr:colOff>
      <xdr:row>11</xdr:row>
      <xdr:rowOff>33538</xdr:rowOff>
    </xdr:from>
    <xdr:to>
      <xdr:col>7</xdr:col>
      <xdr:colOff>447500</xdr:colOff>
      <xdr:row>12</xdr:row>
      <xdr:rowOff>1018</xdr:rowOff>
    </xdr:to>
    <xdr:sp macro="" textlink="">
      <xdr:nvSpPr>
        <xdr:cNvPr id="236" name="Oval 340">
          <a:extLst>
            <a:ext uri="{FF2B5EF4-FFF2-40B4-BE49-F238E27FC236}">
              <a16:creationId xmlns:a16="http://schemas.microsoft.com/office/drawing/2014/main" id="{C2E2008A-CBAA-4706-AB0F-01C134C3E4E5}"/>
            </a:ext>
          </a:extLst>
        </xdr:cNvPr>
        <xdr:cNvSpPr>
          <a:spLocks noChangeArrowheads="1"/>
        </xdr:cNvSpPr>
      </xdr:nvSpPr>
      <xdr:spPr bwMode="auto">
        <a:xfrm>
          <a:off x="4297640" y="330251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4</a:t>
          </a:r>
        </a:p>
      </xdr:txBody>
    </xdr:sp>
    <xdr:clientData/>
  </xdr:twoCellAnchor>
  <xdr:twoCellAnchor>
    <xdr:from>
      <xdr:col>8</xdr:col>
      <xdr:colOff>322300</xdr:colOff>
      <xdr:row>13</xdr:row>
      <xdr:rowOff>73934</xdr:rowOff>
    </xdr:from>
    <xdr:to>
      <xdr:col>8</xdr:col>
      <xdr:colOff>487900</xdr:colOff>
      <xdr:row>14</xdr:row>
      <xdr:rowOff>41414</xdr:rowOff>
    </xdr:to>
    <xdr:sp macro="" textlink="">
      <xdr:nvSpPr>
        <xdr:cNvPr id="238" name="Oval 340">
          <a:extLst>
            <a:ext uri="{FF2B5EF4-FFF2-40B4-BE49-F238E27FC236}">
              <a16:creationId xmlns:a16="http://schemas.microsoft.com/office/drawing/2014/main" id="{C61B9B60-0AE4-4A8F-BC8F-800C5FF3E61E}"/>
            </a:ext>
          </a:extLst>
        </xdr:cNvPr>
        <xdr:cNvSpPr>
          <a:spLocks noChangeArrowheads="1"/>
        </xdr:cNvSpPr>
      </xdr:nvSpPr>
      <xdr:spPr bwMode="auto">
        <a:xfrm>
          <a:off x="5740120" y="373915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11</a:t>
          </a:r>
        </a:p>
      </xdr:txBody>
    </xdr:sp>
    <xdr:clientData/>
  </xdr:twoCellAnchor>
  <xdr:twoCellAnchor>
    <xdr:from>
      <xdr:col>8</xdr:col>
      <xdr:colOff>329528</xdr:colOff>
      <xdr:row>15</xdr:row>
      <xdr:rowOff>73968</xdr:rowOff>
    </xdr:from>
    <xdr:to>
      <xdr:col>8</xdr:col>
      <xdr:colOff>495128</xdr:colOff>
      <xdr:row>16</xdr:row>
      <xdr:rowOff>41448</xdr:rowOff>
    </xdr:to>
    <xdr:sp macro="" textlink="">
      <xdr:nvSpPr>
        <xdr:cNvPr id="239" name="Oval 340">
          <a:extLst>
            <a:ext uri="{FF2B5EF4-FFF2-40B4-BE49-F238E27FC236}">
              <a16:creationId xmlns:a16="http://schemas.microsoft.com/office/drawing/2014/main" id="{E82E7D09-B104-431E-A71B-AC1251ED2CA9}"/>
            </a:ext>
          </a:extLst>
        </xdr:cNvPr>
        <xdr:cNvSpPr>
          <a:spLocks noChangeArrowheads="1"/>
        </xdr:cNvSpPr>
      </xdr:nvSpPr>
      <xdr:spPr bwMode="auto">
        <a:xfrm>
          <a:off x="5747348" y="413542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12</a:t>
          </a:r>
        </a:p>
      </xdr:txBody>
    </xdr:sp>
    <xdr:clientData/>
  </xdr:twoCellAnchor>
  <xdr:twoCellAnchor>
    <xdr:from>
      <xdr:col>8</xdr:col>
      <xdr:colOff>322300</xdr:colOff>
      <xdr:row>17</xdr:row>
      <xdr:rowOff>85532</xdr:rowOff>
    </xdr:from>
    <xdr:to>
      <xdr:col>8</xdr:col>
      <xdr:colOff>487900</xdr:colOff>
      <xdr:row>18</xdr:row>
      <xdr:rowOff>53012</xdr:rowOff>
    </xdr:to>
    <xdr:sp macro="" textlink="">
      <xdr:nvSpPr>
        <xdr:cNvPr id="240" name="Oval 340">
          <a:extLst>
            <a:ext uri="{FF2B5EF4-FFF2-40B4-BE49-F238E27FC236}">
              <a16:creationId xmlns:a16="http://schemas.microsoft.com/office/drawing/2014/main" id="{3239636F-0951-4D6E-90A5-417DF5DF412D}"/>
            </a:ext>
          </a:extLst>
        </xdr:cNvPr>
        <xdr:cNvSpPr>
          <a:spLocks noChangeArrowheads="1"/>
        </xdr:cNvSpPr>
      </xdr:nvSpPr>
      <xdr:spPr bwMode="auto">
        <a:xfrm>
          <a:off x="5740120" y="4543232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13</a:t>
          </a:r>
        </a:p>
      </xdr:txBody>
    </xdr:sp>
    <xdr:clientData/>
  </xdr:twoCellAnchor>
  <xdr:twoCellAnchor>
    <xdr:from>
      <xdr:col>7</xdr:col>
      <xdr:colOff>461589</xdr:colOff>
      <xdr:row>22</xdr:row>
      <xdr:rowOff>92883</xdr:rowOff>
    </xdr:from>
    <xdr:to>
      <xdr:col>7</xdr:col>
      <xdr:colOff>627189</xdr:colOff>
      <xdr:row>23</xdr:row>
      <xdr:rowOff>60363</xdr:rowOff>
    </xdr:to>
    <xdr:sp macro="" textlink="">
      <xdr:nvSpPr>
        <xdr:cNvPr id="241" name="Oval 340">
          <a:extLst>
            <a:ext uri="{FF2B5EF4-FFF2-40B4-BE49-F238E27FC236}">
              <a16:creationId xmlns:a16="http://schemas.microsoft.com/office/drawing/2014/main" id="{1BDCAFF4-E373-42AE-961A-BE0F54D7A3C7}"/>
            </a:ext>
          </a:extLst>
        </xdr:cNvPr>
        <xdr:cNvSpPr>
          <a:spLocks noChangeArrowheads="1"/>
        </xdr:cNvSpPr>
      </xdr:nvSpPr>
      <xdr:spPr bwMode="auto">
        <a:xfrm>
          <a:off x="4477329" y="554118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14</a:t>
          </a:r>
        </a:p>
      </xdr:txBody>
    </xdr:sp>
    <xdr:clientData/>
  </xdr:twoCellAnchor>
  <xdr:twoCellAnchor>
    <xdr:from>
      <xdr:col>6</xdr:col>
      <xdr:colOff>235630</xdr:colOff>
      <xdr:row>17</xdr:row>
      <xdr:rowOff>30877</xdr:rowOff>
    </xdr:from>
    <xdr:to>
      <xdr:col>6</xdr:col>
      <xdr:colOff>401230</xdr:colOff>
      <xdr:row>17</xdr:row>
      <xdr:rowOff>196477</xdr:rowOff>
    </xdr:to>
    <xdr:sp macro="" textlink="">
      <xdr:nvSpPr>
        <xdr:cNvPr id="243" name="Oval 340">
          <a:extLst>
            <a:ext uri="{FF2B5EF4-FFF2-40B4-BE49-F238E27FC236}">
              <a16:creationId xmlns:a16="http://schemas.microsoft.com/office/drawing/2014/main" id="{E6849B12-BA7A-4E03-92A0-E50CC1ACB015}"/>
            </a:ext>
          </a:extLst>
        </xdr:cNvPr>
        <xdr:cNvSpPr>
          <a:spLocks noChangeArrowheads="1"/>
        </xdr:cNvSpPr>
      </xdr:nvSpPr>
      <xdr:spPr bwMode="auto">
        <a:xfrm>
          <a:off x="3817030" y="448857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6</a:t>
          </a:r>
        </a:p>
      </xdr:txBody>
    </xdr:sp>
    <xdr:clientData/>
  </xdr:twoCellAnchor>
  <xdr:twoCellAnchor>
    <xdr:from>
      <xdr:col>8</xdr:col>
      <xdr:colOff>322301</xdr:colOff>
      <xdr:row>19</xdr:row>
      <xdr:rowOff>70020</xdr:rowOff>
    </xdr:from>
    <xdr:to>
      <xdr:col>8</xdr:col>
      <xdr:colOff>487901</xdr:colOff>
      <xdr:row>20</xdr:row>
      <xdr:rowOff>37500</xdr:rowOff>
    </xdr:to>
    <xdr:sp macro="" textlink="">
      <xdr:nvSpPr>
        <xdr:cNvPr id="23" name="Oval 340">
          <a:extLst>
            <a:ext uri="{FF2B5EF4-FFF2-40B4-BE49-F238E27FC236}">
              <a16:creationId xmlns:a16="http://schemas.microsoft.com/office/drawing/2014/main" id="{EF161461-29FF-43FA-BD63-6041ABDB8D23}"/>
            </a:ext>
          </a:extLst>
        </xdr:cNvPr>
        <xdr:cNvSpPr>
          <a:spLocks noChangeArrowheads="1"/>
        </xdr:cNvSpPr>
      </xdr:nvSpPr>
      <xdr:spPr bwMode="auto">
        <a:xfrm>
          <a:off x="5740121" y="4923960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15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609600</xdr:colOff>
          <xdr:row>0</xdr:row>
          <xdr:rowOff>781050</xdr:rowOff>
        </xdr:to>
        <xdr:pic>
          <xdr:nvPicPr>
            <xdr:cNvPr id="25" name="그림 24">
              <a:extLst>
                <a:ext uri="{FF2B5EF4-FFF2-40B4-BE49-F238E27FC236}">
                  <a16:creationId xmlns:a16="http://schemas.microsoft.com/office/drawing/2014/main" id="{9E369160-B2CE-4E99-9581-4BB176C928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172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8600" y="0"/>
              <a:ext cx="999172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207331</xdr:colOff>
      <xdr:row>5</xdr:row>
      <xdr:rowOff>96819</xdr:rowOff>
    </xdr:from>
    <xdr:to>
      <xdr:col>10</xdr:col>
      <xdr:colOff>626951</xdr:colOff>
      <xdr:row>31</xdr:row>
      <xdr:rowOff>1953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76C6D21-0DB2-4770-A825-A44D01BC3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036" y="2141750"/>
          <a:ext cx="7269308" cy="4648584"/>
        </a:xfrm>
        <a:prstGeom prst="rect">
          <a:avLst/>
        </a:prstGeom>
      </xdr:spPr>
    </xdr:pic>
    <xdr:clientData/>
  </xdr:twoCellAnchor>
  <xdr:twoCellAnchor>
    <xdr:from>
      <xdr:col>2</xdr:col>
      <xdr:colOff>126139</xdr:colOff>
      <xdr:row>9</xdr:row>
      <xdr:rowOff>72287</xdr:rowOff>
    </xdr:from>
    <xdr:to>
      <xdr:col>2</xdr:col>
      <xdr:colOff>291739</xdr:colOff>
      <xdr:row>10</xdr:row>
      <xdr:rowOff>39767</xdr:rowOff>
    </xdr:to>
    <xdr:sp macro="" textlink="">
      <xdr:nvSpPr>
        <xdr:cNvPr id="6" name="Oval 340">
          <a:extLst>
            <a:ext uri="{FF2B5EF4-FFF2-40B4-BE49-F238E27FC236}">
              <a16:creationId xmlns:a16="http://schemas.microsoft.com/office/drawing/2014/main" id="{3C285B98-F22A-4555-89C3-7FF7C0C14DA9}"/>
            </a:ext>
          </a:extLst>
        </xdr:cNvPr>
        <xdr:cNvSpPr>
          <a:spLocks noChangeArrowheads="1"/>
        </xdr:cNvSpPr>
      </xdr:nvSpPr>
      <xdr:spPr bwMode="auto">
        <a:xfrm>
          <a:off x="872899" y="294502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  <xdr:twoCellAnchor>
    <xdr:from>
      <xdr:col>3</xdr:col>
      <xdr:colOff>558761</xdr:colOff>
      <xdr:row>9</xdr:row>
      <xdr:rowOff>72287</xdr:rowOff>
    </xdr:from>
    <xdr:to>
      <xdr:col>3</xdr:col>
      <xdr:colOff>724361</xdr:colOff>
      <xdr:row>10</xdr:row>
      <xdr:rowOff>39767</xdr:rowOff>
    </xdr:to>
    <xdr:sp macro="" textlink="">
      <xdr:nvSpPr>
        <xdr:cNvPr id="7" name="Oval 340">
          <a:extLst>
            <a:ext uri="{FF2B5EF4-FFF2-40B4-BE49-F238E27FC236}">
              <a16:creationId xmlns:a16="http://schemas.microsoft.com/office/drawing/2014/main" id="{E907C606-BF5B-4ECE-9DAE-86A34EB02249}"/>
            </a:ext>
          </a:extLst>
        </xdr:cNvPr>
        <xdr:cNvSpPr>
          <a:spLocks noChangeArrowheads="1"/>
        </xdr:cNvSpPr>
      </xdr:nvSpPr>
      <xdr:spPr bwMode="auto">
        <a:xfrm>
          <a:off x="2082761" y="294502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3</a:t>
          </a:r>
        </a:p>
      </xdr:txBody>
    </xdr:sp>
    <xdr:clientData/>
  </xdr:twoCellAnchor>
  <xdr:twoCellAnchor>
    <xdr:from>
      <xdr:col>8</xdr:col>
      <xdr:colOff>656705</xdr:colOff>
      <xdr:row>9</xdr:row>
      <xdr:rowOff>72287</xdr:rowOff>
    </xdr:from>
    <xdr:to>
      <xdr:col>8</xdr:col>
      <xdr:colOff>822305</xdr:colOff>
      <xdr:row>10</xdr:row>
      <xdr:rowOff>39767</xdr:rowOff>
    </xdr:to>
    <xdr:sp macro="" textlink="">
      <xdr:nvSpPr>
        <xdr:cNvPr id="8" name="Oval 340">
          <a:extLst>
            <a:ext uri="{FF2B5EF4-FFF2-40B4-BE49-F238E27FC236}">
              <a16:creationId xmlns:a16="http://schemas.microsoft.com/office/drawing/2014/main" id="{C362E6ED-D1A0-4363-BAB5-9ABB650CD11A}"/>
            </a:ext>
          </a:extLst>
        </xdr:cNvPr>
        <xdr:cNvSpPr>
          <a:spLocks noChangeArrowheads="1"/>
        </xdr:cNvSpPr>
      </xdr:nvSpPr>
      <xdr:spPr bwMode="auto">
        <a:xfrm>
          <a:off x="6066905" y="294502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12</a:t>
          </a:r>
        </a:p>
      </xdr:txBody>
    </xdr:sp>
    <xdr:clientData/>
  </xdr:twoCellAnchor>
  <xdr:twoCellAnchor>
    <xdr:from>
      <xdr:col>2</xdr:col>
      <xdr:colOff>126139</xdr:colOff>
      <xdr:row>11</xdr:row>
      <xdr:rowOff>36144</xdr:rowOff>
    </xdr:from>
    <xdr:to>
      <xdr:col>2</xdr:col>
      <xdr:colOff>291739</xdr:colOff>
      <xdr:row>12</xdr:row>
      <xdr:rowOff>3624</xdr:rowOff>
    </xdr:to>
    <xdr:sp macro="" textlink="">
      <xdr:nvSpPr>
        <xdr:cNvPr id="9" name="Oval 340">
          <a:extLst>
            <a:ext uri="{FF2B5EF4-FFF2-40B4-BE49-F238E27FC236}">
              <a16:creationId xmlns:a16="http://schemas.microsoft.com/office/drawing/2014/main" id="{3004CFFF-743D-4BBF-896C-A99CEDBBACCF}"/>
            </a:ext>
          </a:extLst>
        </xdr:cNvPr>
        <xdr:cNvSpPr>
          <a:spLocks noChangeArrowheads="1"/>
        </xdr:cNvSpPr>
      </xdr:nvSpPr>
      <xdr:spPr bwMode="auto">
        <a:xfrm>
          <a:off x="872899" y="330512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2</a:t>
          </a:r>
        </a:p>
      </xdr:txBody>
    </xdr:sp>
    <xdr:clientData/>
  </xdr:twoCellAnchor>
  <xdr:twoCellAnchor>
    <xdr:from>
      <xdr:col>3</xdr:col>
      <xdr:colOff>558761</xdr:colOff>
      <xdr:row>11</xdr:row>
      <xdr:rowOff>36144</xdr:rowOff>
    </xdr:from>
    <xdr:to>
      <xdr:col>3</xdr:col>
      <xdr:colOff>724361</xdr:colOff>
      <xdr:row>12</xdr:row>
      <xdr:rowOff>3624</xdr:rowOff>
    </xdr:to>
    <xdr:sp macro="" textlink="">
      <xdr:nvSpPr>
        <xdr:cNvPr id="10" name="Oval 340">
          <a:extLst>
            <a:ext uri="{FF2B5EF4-FFF2-40B4-BE49-F238E27FC236}">
              <a16:creationId xmlns:a16="http://schemas.microsoft.com/office/drawing/2014/main" id="{2738872D-D484-4E06-B261-90F60700F3EC}"/>
            </a:ext>
          </a:extLst>
        </xdr:cNvPr>
        <xdr:cNvSpPr>
          <a:spLocks noChangeArrowheads="1"/>
        </xdr:cNvSpPr>
      </xdr:nvSpPr>
      <xdr:spPr bwMode="auto">
        <a:xfrm>
          <a:off x="2082761" y="330512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4</a:t>
          </a:r>
        </a:p>
      </xdr:txBody>
    </xdr:sp>
    <xdr:clientData/>
  </xdr:twoCellAnchor>
  <xdr:twoCellAnchor>
    <xdr:from>
      <xdr:col>8</xdr:col>
      <xdr:colOff>663933</xdr:colOff>
      <xdr:row>13</xdr:row>
      <xdr:rowOff>101200</xdr:rowOff>
    </xdr:from>
    <xdr:to>
      <xdr:col>8</xdr:col>
      <xdr:colOff>829533</xdr:colOff>
      <xdr:row>14</xdr:row>
      <xdr:rowOff>68680</xdr:rowOff>
    </xdr:to>
    <xdr:sp macro="" textlink="">
      <xdr:nvSpPr>
        <xdr:cNvPr id="11" name="Oval 340">
          <a:extLst>
            <a:ext uri="{FF2B5EF4-FFF2-40B4-BE49-F238E27FC236}">
              <a16:creationId xmlns:a16="http://schemas.microsoft.com/office/drawing/2014/main" id="{0401E975-3E3C-4560-86A2-DC49E2D5C422}"/>
            </a:ext>
          </a:extLst>
        </xdr:cNvPr>
        <xdr:cNvSpPr>
          <a:spLocks noChangeArrowheads="1"/>
        </xdr:cNvSpPr>
      </xdr:nvSpPr>
      <xdr:spPr bwMode="auto">
        <a:xfrm>
          <a:off x="6074133" y="3766420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13</a:t>
          </a:r>
        </a:p>
      </xdr:txBody>
    </xdr:sp>
    <xdr:clientData/>
  </xdr:twoCellAnchor>
  <xdr:twoCellAnchor>
    <xdr:from>
      <xdr:col>3</xdr:col>
      <xdr:colOff>558761</xdr:colOff>
      <xdr:row>12</xdr:row>
      <xdr:rowOff>159028</xdr:rowOff>
    </xdr:from>
    <xdr:to>
      <xdr:col>3</xdr:col>
      <xdr:colOff>724361</xdr:colOff>
      <xdr:row>13</xdr:row>
      <xdr:rowOff>126508</xdr:rowOff>
    </xdr:to>
    <xdr:sp macro="" textlink="">
      <xdr:nvSpPr>
        <xdr:cNvPr id="12" name="Oval 340">
          <a:extLst>
            <a:ext uri="{FF2B5EF4-FFF2-40B4-BE49-F238E27FC236}">
              <a16:creationId xmlns:a16="http://schemas.microsoft.com/office/drawing/2014/main" id="{CDB4F4C8-7639-4B40-BFC0-0EB4E44EE976}"/>
            </a:ext>
          </a:extLst>
        </xdr:cNvPr>
        <xdr:cNvSpPr>
          <a:spLocks noChangeArrowheads="1"/>
        </xdr:cNvSpPr>
      </xdr:nvSpPr>
      <xdr:spPr bwMode="auto">
        <a:xfrm>
          <a:off x="2082761" y="362612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5</a:t>
          </a:r>
        </a:p>
      </xdr:txBody>
    </xdr:sp>
    <xdr:clientData/>
  </xdr:twoCellAnchor>
  <xdr:twoCellAnchor>
    <xdr:from>
      <xdr:col>3</xdr:col>
      <xdr:colOff>558761</xdr:colOff>
      <xdr:row>15</xdr:row>
      <xdr:rowOff>115658</xdr:rowOff>
    </xdr:from>
    <xdr:to>
      <xdr:col>3</xdr:col>
      <xdr:colOff>724361</xdr:colOff>
      <xdr:row>16</xdr:row>
      <xdr:rowOff>83138</xdr:rowOff>
    </xdr:to>
    <xdr:sp macro="" textlink="">
      <xdr:nvSpPr>
        <xdr:cNvPr id="13" name="Oval 340">
          <a:extLst>
            <a:ext uri="{FF2B5EF4-FFF2-40B4-BE49-F238E27FC236}">
              <a16:creationId xmlns:a16="http://schemas.microsoft.com/office/drawing/2014/main" id="{A16F25B5-51FD-42B7-AC43-B1383B12CD0F}"/>
            </a:ext>
          </a:extLst>
        </xdr:cNvPr>
        <xdr:cNvSpPr>
          <a:spLocks noChangeArrowheads="1"/>
        </xdr:cNvSpPr>
      </xdr:nvSpPr>
      <xdr:spPr bwMode="auto">
        <a:xfrm>
          <a:off x="2082761" y="417711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7</a:t>
          </a:r>
        </a:p>
      </xdr:txBody>
    </xdr:sp>
    <xdr:clientData/>
  </xdr:twoCellAnchor>
  <xdr:twoCellAnchor>
    <xdr:from>
      <xdr:col>3</xdr:col>
      <xdr:colOff>558761</xdr:colOff>
      <xdr:row>19</xdr:row>
      <xdr:rowOff>166257</xdr:rowOff>
    </xdr:from>
    <xdr:to>
      <xdr:col>3</xdr:col>
      <xdr:colOff>724361</xdr:colOff>
      <xdr:row>20</xdr:row>
      <xdr:rowOff>133737</xdr:rowOff>
    </xdr:to>
    <xdr:sp macro="" textlink="">
      <xdr:nvSpPr>
        <xdr:cNvPr id="14" name="Oval 340">
          <a:extLst>
            <a:ext uri="{FF2B5EF4-FFF2-40B4-BE49-F238E27FC236}">
              <a16:creationId xmlns:a16="http://schemas.microsoft.com/office/drawing/2014/main" id="{67868CA3-C8E5-4171-958C-D9C585B4FD57}"/>
            </a:ext>
          </a:extLst>
        </xdr:cNvPr>
        <xdr:cNvSpPr>
          <a:spLocks noChangeArrowheads="1"/>
        </xdr:cNvSpPr>
      </xdr:nvSpPr>
      <xdr:spPr bwMode="auto">
        <a:xfrm>
          <a:off x="2082761" y="502019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9</a:t>
          </a:r>
        </a:p>
      </xdr:txBody>
    </xdr:sp>
    <xdr:clientData/>
  </xdr:twoCellAnchor>
  <xdr:twoCellAnchor>
    <xdr:from>
      <xdr:col>3</xdr:col>
      <xdr:colOff>558761</xdr:colOff>
      <xdr:row>26</xdr:row>
      <xdr:rowOff>1</xdr:rowOff>
    </xdr:from>
    <xdr:to>
      <xdr:col>3</xdr:col>
      <xdr:colOff>724361</xdr:colOff>
      <xdr:row>26</xdr:row>
      <xdr:rowOff>165601</xdr:rowOff>
    </xdr:to>
    <xdr:sp macro="" textlink="">
      <xdr:nvSpPr>
        <xdr:cNvPr id="15" name="Oval 340">
          <a:extLst>
            <a:ext uri="{FF2B5EF4-FFF2-40B4-BE49-F238E27FC236}">
              <a16:creationId xmlns:a16="http://schemas.microsoft.com/office/drawing/2014/main" id="{699C1131-C0D4-42CA-85D9-8C9755DF1B8D}"/>
            </a:ext>
          </a:extLst>
        </xdr:cNvPr>
        <xdr:cNvSpPr>
          <a:spLocks noChangeArrowheads="1"/>
        </xdr:cNvSpPr>
      </xdr:nvSpPr>
      <xdr:spPr bwMode="auto">
        <a:xfrm>
          <a:off x="2082761" y="624078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10</a:t>
          </a:r>
        </a:p>
      </xdr:txBody>
    </xdr:sp>
    <xdr:clientData/>
  </xdr:twoCellAnchor>
  <xdr:twoCellAnchor>
    <xdr:from>
      <xdr:col>3</xdr:col>
      <xdr:colOff>558761</xdr:colOff>
      <xdr:row>27</xdr:row>
      <xdr:rowOff>166256</xdr:rowOff>
    </xdr:from>
    <xdr:to>
      <xdr:col>3</xdr:col>
      <xdr:colOff>724361</xdr:colOff>
      <xdr:row>28</xdr:row>
      <xdr:rowOff>133736</xdr:rowOff>
    </xdr:to>
    <xdr:sp macro="" textlink="">
      <xdr:nvSpPr>
        <xdr:cNvPr id="16" name="Oval 340">
          <a:extLst>
            <a:ext uri="{FF2B5EF4-FFF2-40B4-BE49-F238E27FC236}">
              <a16:creationId xmlns:a16="http://schemas.microsoft.com/office/drawing/2014/main" id="{2E59761B-888C-416D-BC6A-F6FDE771841F}"/>
            </a:ext>
          </a:extLst>
        </xdr:cNvPr>
        <xdr:cNvSpPr>
          <a:spLocks noChangeArrowheads="1"/>
        </xdr:cNvSpPr>
      </xdr:nvSpPr>
      <xdr:spPr bwMode="auto">
        <a:xfrm>
          <a:off x="2082761" y="660515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11</a:t>
          </a:r>
        </a:p>
      </xdr:txBody>
    </xdr:sp>
    <xdr:clientData/>
  </xdr:twoCellAnchor>
  <xdr:twoCellAnchor>
    <xdr:from>
      <xdr:col>6</xdr:col>
      <xdr:colOff>77708</xdr:colOff>
      <xdr:row>11</xdr:row>
      <xdr:rowOff>72286</xdr:rowOff>
    </xdr:from>
    <xdr:to>
      <xdr:col>6</xdr:col>
      <xdr:colOff>243308</xdr:colOff>
      <xdr:row>12</xdr:row>
      <xdr:rowOff>39766</xdr:rowOff>
    </xdr:to>
    <xdr:sp macro="" textlink="">
      <xdr:nvSpPr>
        <xdr:cNvPr id="17" name="Oval 340">
          <a:extLst>
            <a:ext uri="{FF2B5EF4-FFF2-40B4-BE49-F238E27FC236}">
              <a16:creationId xmlns:a16="http://schemas.microsoft.com/office/drawing/2014/main" id="{F2E34D20-E76A-4292-8126-2CDFAB3D7940}"/>
            </a:ext>
          </a:extLst>
        </xdr:cNvPr>
        <xdr:cNvSpPr>
          <a:spLocks noChangeArrowheads="1"/>
        </xdr:cNvSpPr>
      </xdr:nvSpPr>
      <xdr:spPr bwMode="auto">
        <a:xfrm>
          <a:off x="3857228" y="334126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6</a:t>
          </a:r>
        </a:p>
      </xdr:txBody>
    </xdr:sp>
    <xdr:clientData/>
  </xdr:twoCellAnchor>
  <xdr:twoCellAnchor>
    <xdr:from>
      <xdr:col>7</xdr:col>
      <xdr:colOff>482501</xdr:colOff>
      <xdr:row>11</xdr:row>
      <xdr:rowOff>72286</xdr:rowOff>
    </xdr:from>
    <xdr:to>
      <xdr:col>7</xdr:col>
      <xdr:colOff>648101</xdr:colOff>
      <xdr:row>12</xdr:row>
      <xdr:rowOff>39766</xdr:rowOff>
    </xdr:to>
    <xdr:sp macro="" textlink="">
      <xdr:nvSpPr>
        <xdr:cNvPr id="18" name="Oval 340">
          <a:extLst>
            <a:ext uri="{FF2B5EF4-FFF2-40B4-BE49-F238E27FC236}">
              <a16:creationId xmlns:a16="http://schemas.microsoft.com/office/drawing/2014/main" id="{3E8F0542-D233-472E-853C-80C408029F37}"/>
            </a:ext>
          </a:extLst>
        </xdr:cNvPr>
        <xdr:cNvSpPr>
          <a:spLocks noChangeArrowheads="1"/>
        </xdr:cNvSpPr>
      </xdr:nvSpPr>
      <xdr:spPr bwMode="auto">
        <a:xfrm>
          <a:off x="4696361" y="334126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6</a:t>
          </a:r>
        </a:p>
      </xdr:txBody>
    </xdr:sp>
    <xdr:clientData/>
  </xdr:twoCellAnchor>
  <xdr:twoCellAnchor>
    <xdr:from>
      <xdr:col>7</xdr:col>
      <xdr:colOff>71201</xdr:colOff>
      <xdr:row>17</xdr:row>
      <xdr:rowOff>86742</xdr:rowOff>
    </xdr:from>
    <xdr:to>
      <xdr:col>7</xdr:col>
      <xdr:colOff>236801</xdr:colOff>
      <xdr:row>18</xdr:row>
      <xdr:rowOff>54222</xdr:rowOff>
    </xdr:to>
    <xdr:sp macro="" textlink="">
      <xdr:nvSpPr>
        <xdr:cNvPr id="19" name="Oval 340">
          <a:extLst>
            <a:ext uri="{FF2B5EF4-FFF2-40B4-BE49-F238E27FC236}">
              <a16:creationId xmlns:a16="http://schemas.microsoft.com/office/drawing/2014/main" id="{703BBA23-2C3B-4D00-81D3-E317CA4347F5}"/>
            </a:ext>
          </a:extLst>
        </xdr:cNvPr>
        <xdr:cNvSpPr>
          <a:spLocks noChangeArrowheads="1"/>
        </xdr:cNvSpPr>
      </xdr:nvSpPr>
      <xdr:spPr bwMode="auto">
        <a:xfrm>
          <a:off x="4285061" y="4544442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8</a:t>
          </a:r>
        </a:p>
      </xdr:txBody>
    </xdr:sp>
    <xdr:clientData/>
  </xdr:twoCellAnchor>
  <xdr:twoCellAnchor>
    <xdr:from>
      <xdr:col>7</xdr:col>
      <xdr:colOff>71201</xdr:colOff>
      <xdr:row>22</xdr:row>
      <xdr:rowOff>166256</xdr:rowOff>
    </xdr:from>
    <xdr:to>
      <xdr:col>7</xdr:col>
      <xdr:colOff>236801</xdr:colOff>
      <xdr:row>23</xdr:row>
      <xdr:rowOff>133736</xdr:rowOff>
    </xdr:to>
    <xdr:sp macro="" textlink="">
      <xdr:nvSpPr>
        <xdr:cNvPr id="20" name="Oval 340">
          <a:extLst>
            <a:ext uri="{FF2B5EF4-FFF2-40B4-BE49-F238E27FC236}">
              <a16:creationId xmlns:a16="http://schemas.microsoft.com/office/drawing/2014/main" id="{874F6B0C-E0B4-4793-AFFD-6D31D49F1503}"/>
            </a:ext>
          </a:extLst>
        </xdr:cNvPr>
        <xdr:cNvSpPr>
          <a:spLocks noChangeArrowheads="1"/>
        </xdr:cNvSpPr>
      </xdr:nvSpPr>
      <xdr:spPr bwMode="auto">
        <a:xfrm>
          <a:off x="4285061" y="561455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16</a:t>
          </a:r>
        </a:p>
      </xdr:txBody>
    </xdr:sp>
    <xdr:clientData/>
  </xdr:twoCellAnchor>
  <xdr:twoCellAnchor>
    <xdr:from>
      <xdr:col>8</xdr:col>
      <xdr:colOff>663933</xdr:colOff>
      <xdr:row>15</xdr:row>
      <xdr:rowOff>101201</xdr:rowOff>
    </xdr:from>
    <xdr:to>
      <xdr:col>8</xdr:col>
      <xdr:colOff>829533</xdr:colOff>
      <xdr:row>16</xdr:row>
      <xdr:rowOff>68681</xdr:rowOff>
    </xdr:to>
    <xdr:sp macro="" textlink="">
      <xdr:nvSpPr>
        <xdr:cNvPr id="21" name="Oval 340">
          <a:extLst>
            <a:ext uri="{FF2B5EF4-FFF2-40B4-BE49-F238E27FC236}">
              <a16:creationId xmlns:a16="http://schemas.microsoft.com/office/drawing/2014/main" id="{755A0C9B-E19A-42CD-B1A5-14AC99259601}"/>
            </a:ext>
          </a:extLst>
        </xdr:cNvPr>
        <xdr:cNvSpPr>
          <a:spLocks noChangeArrowheads="1"/>
        </xdr:cNvSpPr>
      </xdr:nvSpPr>
      <xdr:spPr bwMode="auto">
        <a:xfrm>
          <a:off x="6074133" y="416266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14</a:t>
          </a:r>
        </a:p>
      </xdr:txBody>
    </xdr:sp>
    <xdr:clientData/>
  </xdr:twoCellAnchor>
  <xdr:twoCellAnchor>
    <xdr:from>
      <xdr:col>8</xdr:col>
      <xdr:colOff>663933</xdr:colOff>
      <xdr:row>17</xdr:row>
      <xdr:rowOff>122885</xdr:rowOff>
    </xdr:from>
    <xdr:to>
      <xdr:col>8</xdr:col>
      <xdr:colOff>829533</xdr:colOff>
      <xdr:row>18</xdr:row>
      <xdr:rowOff>90365</xdr:rowOff>
    </xdr:to>
    <xdr:sp macro="" textlink="">
      <xdr:nvSpPr>
        <xdr:cNvPr id="22" name="Oval 340">
          <a:extLst>
            <a:ext uri="{FF2B5EF4-FFF2-40B4-BE49-F238E27FC236}">
              <a16:creationId xmlns:a16="http://schemas.microsoft.com/office/drawing/2014/main" id="{CB3E3B26-C549-4844-8A27-9A4927596388}"/>
            </a:ext>
          </a:extLst>
        </xdr:cNvPr>
        <xdr:cNvSpPr>
          <a:spLocks noChangeArrowheads="1"/>
        </xdr:cNvSpPr>
      </xdr:nvSpPr>
      <xdr:spPr bwMode="auto">
        <a:xfrm>
          <a:off x="6074133" y="458058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15</a:t>
          </a:r>
        </a:p>
      </xdr:txBody>
    </xdr:sp>
    <xdr:clientData/>
  </xdr:twoCellAnchor>
  <xdr:twoCellAnchor>
    <xdr:from>
      <xdr:col>8</xdr:col>
      <xdr:colOff>663933</xdr:colOff>
      <xdr:row>19</xdr:row>
      <xdr:rowOff>144572</xdr:rowOff>
    </xdr:from>
    <xdr:to>
      <xdr:col>8</xdr:col>
      <xdr:colOff>829533</xdr:colOff>
      <xdr:row>20</xdr:row>
      <xdr:rowOff>112052</xdr:rowOff>
    </xdr:to>
    <xdr:sp macro="" textlink="">
      <xdr:nvSpPr>
        <xdr:cNvPr id="23" name="Oval 340">
          <a:extLst>
            <a:ext uri="{FF2B5EF4-FFF2-40B4-BE49-F238E27FC236}">
              <a16:creationId xmlns:a16="http://schemas.microsoft.com/office/drawing/2014/main" id="{8FCBBF4C-FBF5-4B3E-88D5-40DE1F48DCC0}"/>
            </a:ext>
          </a:extLst>
        </xdr:cNvPr>
        <xdr:cNvSpPr>
          <a:spLocks noChangeArrowheads="1"/>
        </xdr:cNvSpPr>
      </xdr:nvSpPr>
      <xdr:spPr bwMode="auto">
        <a:xfrm>
          <a:off x="6074133" y="4998512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17</a:t>
          </a:r>
        </a:p>
      </xdr:txBody>
    </xdr:sp>
    <xdr:clientData/>
  </xdr:twoCellAnchor>
  <xdr:twoCellAnchor>
    <xdr:from>
      <xdr:col>8</xdr:col>
      <xdr:colOff>663933</xdr:colOff>
      <xdr:row>26</xdr:row>
      <xdr:rowOff>14459</xdr:rowOff>
    </xdr:from>
    <xdr:to>
      <xdr:col>8</xdr:col>
      <xdr:colOff>829533</xdr:colOff>
      <xdr:row>26</xdr:row>
      <xdr:rowOff>180059</xdr:rowOff>
    </xdr:to>
    <xdr:sp macro="" textlink="">
      <xdr:nvSpPr>
        <xdr:cNvPr id="24" name="Oval 340">
          <a:extLst>
            <a:ext uri="{FF2B5EF4-FFF2-40B4-BE49-F238E27FC236}">
              <a16:creationId xmlns:a16="http://schemas.microsoft.com/office/drawing/2014/main" id="{79F4B432-2DD0-4E57-ACC7-601501DEB862}"/>
            </a:ext>
          </a:extLst>
        </xdr:cNvPr>
        <xdr:cNvSpPr>
          <a:spLocks noChangeArrowheads="1"/>
        </xdr:cNvSpPr>
      </xdr:nvSpPr>
      <xdr:spPr bwMode="auto">
        <a:xfrm>
          <a:off x="6074133" y="625523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18</a:t>
          </a:r>
        </a:p>
      </xdr:txBody>
    </xdr:sp>
    <xdr:clientData/>
  </xdr:twoCellAnchor>
  <xdr:twoCellAnchor>
    <xdr:from>
      <xdr:col>8</xdr:col>
      <xdr:colOff>324196</xdr:colOff>
      <xdr:row>28</xdr:row>
      <xdr:rowOff>1</xdr:rowOff>
    </xdr:from>
    <xdr:to>
      <xdr:col>8</xdr:col>
      <xdr:colOff>489796</xdr:colOff>
      <xdr:row>28</xdr:row>
      <xdr:rowOff>165601</xdr:rowOff>
    </xdr:to>
    <xdr:sp macro="" textlink="">
      <xdr:nvSpPr>
        <xdr:cNvPr id="25" name="Oval 340">
          <a:extLst>
            <a:ext uri="{FF2B5EF4-FFF2-40B4-BE49-F238E27FC236}">
              <a16:creationId xmlns:a16="http://schemas.microsoft.com/office/drawing/2014/main" id="{27D1F08D-E431-48E6-BB39-622AB145E585}"/>
            </a:ext>
          </a:extLst>
        </xdr:cNvPr>
        <xdr:cNvSpPr>
          <a:spLocks noChangeArrowheads="1"/>
        </xdr:cNvSpPr>
      </xdr:nvSpPr>
      <xdr:spPr bwMode="auto">
        <a:xfrm>
          <a:off x="5734396" y="663702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600075</xdr:colOff>
          <xdr:row>0</xdr:row>
          <xdr:rowOff>781050</xdr:rowOff>
        </xdr:to>
        <xdr:pic>
          <xdr:nvPicPr>
            <xdr:cNvPr id="26" name="그림 25">
              <a:extLst>
                <a:ext uri="{FF2B5EF4-FFF2-40B4-BE49-F238E27FC236}">
                  <a16:creationId xmlns:a16="http://schemas.microsoft.com/office/drawing/2014/main" id="{D4D58323-D5F0-47E9-9BB3-1472BD5C8BE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372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8600" y="0"/>
              <a:ext cx="999172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311091</xdr:colOff>
      <xdr:row>5</xdr:row>
      <xdr:rowOff>133003</xdr:rowOff>
    </xdr:from>
    <xdr:to>
      <xdr:col>10</xdr:col>
      <xdr:colOff>739832</xdr:colOff>
      <xdr:row>31</xdr:row>
      <xdr:rowOff>2504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3898DD24-8B28-4EDE-B8F1-00FF74AF4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96" y="2169621"/>
          <a:ext cx="7278429" cy="4612951"/>
        </a:xfrm>
        <a:prstGeom prst="rect">
          <a:avLst/>
        </a:prstGeom>
      </xdr:spPr>
    </xdr:pic>
    <xdr:clientData/>
  </xdr:twoCellAnchor>
  <xdr:twoCellAnchor>
    <xdr:from>
      <xdr:col>3</xdr:col>
      <xdr:colOff>600472</xdr:colOff>
      <xdr:row>8</xdr:row>
      <xdr:rowOff>58678</xdr:rowOff>
    </xdr:from>
    <xdr:to>
      <xdr:col>3</xdr:col>
      <xdr:colOff>766072</xdr:colOff>
      <xdr:row>9</xdr:row>
      <xdr:rowOff>26158</xdr:rowOff>
    </xdr:to>
    <xdr:sp macro="" textlink="">
      <xdr:nvSpPr>
        <xdr:cNvPr id="4" name="Oval 340">
          <a:extLst>
            <a:ext uri="{FF2B5EF4-FFF2-40B4-BE49-F238E27FC236}">
              <a16:creationId xmlns:a16="http://schemas.microsoft.com/office/drawing/2014/main" id="{A8ED6F59-6AB1-4039-9A6F-4077F9710EE2}"/>
            </a:ext>
          </a:extLst>
        </xdr:cNvPr>
        <xdr:cNvSpPr>
          <a:spLocks noChangeArrowheads="1"/>
        </xdr:cNvSpPr>
      </xdr:nvSpPr>
      <xdr:spPr bwMode="auto">
        <a:xfrm>
          <a:off x="2124472" y="272567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  <xdr:twoCellAnchor>
    <xdr:from>
      <xdr:col>8</xdr:col>
      <xdr:colOff>459156</xdr:colOff>
      <xdr:row>8</xdr:row>
      <xdr:rowOff>58678</xdr:rowOff>
    </xdr:from>
    <xdr:to>
      <xdr:col>8</xdr:col>
      <xdr:colOff>624756</xdr:colOff>
      <xdr:row>9</xdr:row>
      <xdr:rowOff>26158</xdr:rowOff>
    </xdr:to>
    <xdr:sp macro="" textlink="">
      <xdr:nvSpPr>
        <xdr:cNvPr id="5" name="Oval 340">
          <a:extLst>
            <a:ext uri="{FF2B5EF4-FFF2-40B4-BE49-F238E27FC236}">
              <a16:creationId xmlns:a16="http://schemas.microsoft.com/office/drawing/2014/main" id="{347E40EE-589C-4A3A-882F-7E9AA7D1C098}"/>
            </a:ext>
          </a:extLst>
        </xdr:cNvPr>
        <xdr:cNvSpPr>
          <a:spLocks noChangeArrowheads="1"/>
        </xdr:cNvSpPr>
      </xdr:nvSpPr>
      <xdr:spPr bwMode="auto">
        <a:xfrm>
          <a:off x="5869356" y="272567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6</a:t>
          </a:r>
        </a:p>
      </xdr:txBody>
    </xdr:sp>
    <xdr:clientData/>
  </xdr:twoCellAnchor>
  <xdr:twoCellAnchor>
    <xdr:from>
      <xdr:col>3</xdr:col>
      <xdr:colOff>600472</xdr:colOff>
      <xdr:row>10</xdr:row>
      <xdr:rowOff>65906</xdr:rowOff>
    </xdr:from>
    <xdr:to>
      <xdr:col>3</xdr:col>
      <xdr:colOff>766072</xdr:colOff>
      <xdr:row>11</xdr:row>
      <xdr:rowOff>33386</xdr:rowOff>
    </xdr:to>
    <xdr:sp macro="" textlink="">
      <xdr:nvSpPr>
        <xdr:cNvPr id="7" name="Oval 340">
          <a:extLst>
            <a:ext uri="{FF2B5EF4-FFF2-40B4-BE49-F238E27FC236}">
              <a16:creationId xmlns:a16="http://schemas.microsoft.com/office/drawing/2014/main" id="{0F10AB08-7EAC-4B73-9672-9A9684334656}"/>
            </a:ext>
          </a:extLst>
        </xdr:cNvPr>
        <xdr:cNvSpPr>
          <a:spLocks noChangeArrowheads="1"/>
        </xdr:cNvSpPr>
      </xdr:nvSpPr>
      <xdr:spPr bwMode="auto">
        <a:xfrm>
          <a:off x="2124472" y="312914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2</a:t>
          </a:r>
        </a:p>
      </xdr:txBody>
    </xdr:sp>
    <xdr:clientData/>
  </xdr:twoCellAnchor>
  <xdr:twoCellAnchor>
    <xdr:from>
      <xdr:col>8</xdr:col>
      <xdr:colOff>459156</xdr:colOff>
      <xdr:row>10</xdr:row>
      <xdr:rowOff>65906</xdr:rowOff>
    </xdr:from>
    <xdr:to>
      <xdr:col>8</xdr:col>
      <xdr:colOff>624756</xdr:colOff>
      <xdr:row>11</xdr:row>
      <xdr:rowOff>33386</xdr:rowOff>
    </xdr:to>
    <xdr:sp macro="" textlink="">
      <xdr:nvSpPr>
        <xdr:cNvPr id="8" name="Oval 340">
          <a:extLst>
            <a:ext uri="{FF2B5EF4-FFF2-40B4-BE49-F238E27FC236}">
              <a16:creationId xmlns:a16="http://schemas.microsoft.com/office/drawing/2014/main" id="{A0142934-13EA-41B0-878E-1CCED7C4206F}"/>
            </a:ext>
          </a:extLst>
        </xdr:cNvPr>
        <xdr:cNvSpPr>
          <a:spLocks noChangeArrowheads="1"/>
        </xdr:cNvSpPr>
      </xdr:nvSpPr>
      <xdr:spPr bwMode="auto">
        <a:xfrm>
          <a:off x="5869356" y="312914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7</a:t>
          </a:r>
        </a:p>
      </xdr:txBody>
    </xdr:sp>
    <xdr:clientData/>
  </xdr:twoCellAnchor>
  <xdr:twoCellAnchor>
    <xdr:from>
      <xdr:col>3</xdr:col>
      <xdr:colOff>600472</xdr:colOff>
      <xdr:row>17</xdr:row>
      <xdr:rowOff>123734</xdr:rowOff>
    </xdr:from>
    <xdr:to>
      <xdr:col>3</xdr:col>
      <xdr:colOff>766072</xdr:colOff>
      <xdr:row>18</xdr:row>
      <xdr:rowOff>91214</xdr:rowOff>
    </xdr:to>
    <xdr:sp macro="" textlink="">
      <xdr:nvSpPr>
        <xdr:cNvPr id="9" name="Oval 340">
          <a:extLst>
            <a:ext uri="{FF2B5EF4-FFF2-40B4-BE49-F238E27FC236}">
              <a16:creationId xmlns:a16="http://schemas.microsoft.com/office/drawing/2014/main" id="{94FE62E8-98B9-4CAA-AB63-8EA32D6F731A}"/>
            </a:ext>
          </a:extLst>
        </xdr:cNvPr>
        <xdr:cNvSpPr>
          <a:spLocks noChangeArrowheads="1"/>
        </xdr:cNvSpPr>
      </xdr:nvSpPr>
      <xdr:spPr bwMode="auto">
        <a:xfrm>
          <a:off x="2124472" y="457381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3</a:t>
          </a:r>
        </a:p>
      </xdr:txBody>
    </xdr:sp>
    <xdr:clientData/>
  </xdr:twoCellAnchor>
  <xdr:twoCellAnchor>
    <xdr:from>
      <xdr:col>8</xdr:col>
      <xdr:colOff>459156</xdr:colOff>
      <xdr:row>23</xdr:row>
      <xdr:rowOff>65907</xdr:rowOff>
    </xdr:from>
    <xdr:to>
      <xdr:col>8</xdr:col>
      <xdr:colOff>624756</xdr:colOff>
      <xdr:row>24</xdr:row>
      <xdr:rowOff>33387</xdr:rowOff>
    </xdr:to>
    <xdr:sp macro="" textlink="">
      <xdr:nvSpPr>
        <xdr:cNvPr id="10" name="Oval 340">
          <a:extLst>
            <a:ext uri="{FF2B5EF4-FFF2-40B4-BE49-F238E27FC236}">
              <a16:creationId xmlns:a16="http://schemas.microsoft.com/office/drawing/2014/main" id="{46D91FC7-0F43-477E-8365-8D52A92571C8}"/>
            </a:ext>
          </a:extLst>
        </xdr:cNvPr>
        <xdr:cNvSpPr>
          <a:spLocks noChangeArrowheads="1"/>
        </xdr:cNvSpPr>
      </xdr:nvSpPr>
      <xdr:spPr bwMode="auto">
        <a:xfrm>
          <a:off x="5869356" y="570470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8</a:t>
          </a:r>
        </a:p>
      </xdr:txBody>
    </xdr:sp>
    <xdr:clientData/>
  </xdr:twoCellAnchor>
  <xdr:twoCellAnchor>
    <xdr:from>
      <xdr:col>2</xdr:col>
      <xdr:colOff>223872</xdr:colOff>
      <xdr:row>22</xdr:row>
      <xdr:rowOff>15307</xdr:rowOff>
    </xdr:from>
    <xdr:to>
      <xdr:col>2</xdr:col>
      <xdr:colOff>389472</xdr:colOff>
      <xdr:row>22</xdr:row>
      <xdr:rowOff>180907</xdr:rowOff>
    </xdr:to>
    <xdr:sp macro="" textlink="">
      <xdr:nvSpPr>
        <xdr:cNvPr id="11" name="Oval 340">
          <a:extLst>
            <a:ext uri="{FF2B5EF4-FFF2-40B4-BE49-F238E27FC236}">
              <a16:creationId xmlns:a16="http://schemas.microsoft.com/office/drawing/2014/main" id="{F43E17CB-BF06-4660-BE4A-0875AB7A4946}"/>
            </a:ext>
          </a:extLst>
        </xdr:cNvPr>
        <xdr:cNvSpPr>
          <a:spLocks noChangeArrowheads="1"/>
        </xdr:cNvSpPr>
      </xdr:nvSpPr>
      <xdr:spPr bwMode="auto">
        <a:xfrm>
          <a:off x="970632" y="5455987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4</a:t>
          </a:r>
        </a:p>
      </xdr:txBody>
    </xdr:sp>
    <xdr:clientData/>
  </xdr:twoCellAnchor>
  <xdr:twoCellAnchor>
    <xdr:from>
      <xdr:col>2</xdr:col>
      <xdr:colOff>223872</xdr:colOff>
      <xdr:row>26</xdr:row>
      <xdr:rowOff>116508</xdr:rowOff>
    </xdr:from>
    <xdr:to>
      <xdr:col>2</xdr:col>
      <xdr:colOff>389472</xdr:colOff>
      <xdr:row>27</xdr:row>
      <xdr:rowOff>83988</xdr:rowOff>
    </xdr:to>
    <xdr:sp macro="" textlink="">
      <xdr:nvSpPr>
        <xdr:cNvPr id="12" name="Oval 340">
          <a:extLst>
            <a:ext uri="{FF2B5EF4-FFF2-40B4-BE49-F238E27FC236}">
              <a16:creationId xmlns:a16="http://schemas.microsoft.com/office/drawing/2014/main" id="{FA437355-F5DE-4E98-955E-ACDBCDFCC927}"/>
            </a:ext>
          </a:extLst>
        </xdr:cNvPr>
        <xdr:cNvSpPr>
          <a:spLocks noChangeArrowheads="1"/>
        </xdr:cNvSpPr>
      </xdr:nvSpPr>
      <xdr:spPr bwMode="auto">
        <a:xfrm>
          <a:off x="970632" y="634966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5</a:t>
          </a:r>
        </a:p>
      </xdr:txBody>
    </xdr:sp>
    <xdr:clientData/>
  </xdr:twoCellAnchor>
  <xdr:twoCellAnchor>
    <xdr:from>
      <xdr:col>7</xdr:col>
      <xdr:colOff>494575</xdr:colOff>
      <xdr:row>27</xdr:row>
      <xdr:rowOff>145419</xdr:rowOff>
    </xdr:from>
    <xdr:to>
      <xdr:col>7</xdr:col>
      <xdr:colOff>660175</xdr:colOff>
      <xdr:row>28</xdr:row>
      <xdr:rowOff>112899</xdr:rowOff>
    </xdr:to>
    <xdr:sp macro="" textlink="">
      <xdr:nvSpPr>
        <xdr:cNvPr id="13" name="Oval 340">
          <a:extLst>
            <a:ext uri="{FF2B5EF4-FFF2-40B4-BE49-F238E27FC236}">
              <a16:creationId xmlns:a16="http://schemas.microsoft.com/office/drawing/2014/main" id="{508A9810-46DE-4574-9D4D-C3748849AD75}"/>
            </a:ext>
          </a:extLst>
        </xdr:cNvPr>
        <xdr:cNvSpPr>
          <a:spLocks noChangeArrowheads="1"/>
        </xdr:cNvSpPr>
      </xdr:nvSpPr>
      <xdr:spPr bwMode="auto">
        <a:xfrm>
          <a:off x="4708435" y="657669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9</a:t>
          </a:r>
        </a:p>
      </xdr:txBody>
    </xdr:sp>
    <xdr:clientData/>
  </xdr:twoCellAnchor>
  <xdr:twoCellAnchor>
    <xdr:from>
      <xdr:col>3</xdr:col>
      <xdr:colOff>607700</xdr:colOff>
      <xdr:row>26</xdr:row>
      <xdr:rowOff>116508</xdr:rowOff>
    </xdr:from>
    <xdr:to>
      <xdr:col>3</xdr:col>
      <xdr:colOff>773300</xdr:colOff>
      <xdr:row>27</xdr:row>
      <xdr:rowOff>83988</xdr:rowOff>
    </xdr:to>
    <xdr:sp macro="" textlink="">
      <xdr:nvSpPr>
        <xdr:cNvPr id="17" name="Oval 340">
          <a:extLst>
            <a:ext uri="{FF2B5EF4-FFF2-40B4-BE49-F238E27FC236}">
              <a16:creationId xmlns:a16="http://schemas.microsoft.com/office/drawing/2014/main" id="{E915F8CE-F55A-4451-A674-466F1E2212EB}"/>
            </a:ext>
          </a:extLst>
        </xdr:cNvPr>
        <xdr:cNvSpPr>
          <a:spLocks noChangeArrowheads="1"/>
        </xdr:cNvSpPr>
      </xdr:nvSpPr>
      <xdr:spPr bwMode="auto">
        <a:xfrm>
          <a:off x="2131700" y="634966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5</a:t>
          </a:r>
        </a:p>
      </xdr:txBody>
    </xdr:sp>
    <xdr:clientData/>
  </xdr:twoCellAnchor>
  <xdr:twoCellAnchor>
    <xdr:from>
      <xdr:col>8</xdr:col>
      <xdr:colOff>560354</xdr:colOff>
      <xdr:row>27</xdr:row>
      <xdr:rowOff>145419</xdr:rowOff>
    </xdr:from>
    <xdr:to>
      <xdr:col>8</xdr:col>
      <xdr:colOff>725954</xdr:colOff>
      <xdr:row>28</xdr:row>
      <xdr:rowOff>112899</xdr:rowOff>
    </xdr:to>
    <xdr:sp macro="" textlink="">
      <xdr:nvSpPr>
        <xdr:cNvPr id="18" name="Oval 340">
          <a:extLst>
            <a:ext uri="{FF2B5EF4-FFF2-40B4-BE49-F238E27FC236}">
              <a16:creationId xmlns:a16="http://schemas.microsoft.com/office/drawing/2014/main" id="{A0FF7BBB-0EEA-4BD9-B1AD-B7F91995E9C8}"/>
            </a:ext>
          </a:extLst>
        </xdr:cNvPr>
        <xdr:cNvSpPr>
          <a:spLocks noChangeArrowheads="1"/>
        </xdr:cNvSpPr>
      </xdr:nvSpPr>
      <xdr:spPr bwMode="auto">
        <a:xfrm>
          <a:off x="5970554" y="657669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600075</xdr:colOff>
          <xdr:row>0</xdr:row>
          <xdr:rowOff>781050</xdr:rowOff>
        </xdr:to>
        <xdr:pic>
          <xdr:nvPicPr>
            <xdr:cNvPr id="16" name="그림 15">
              <a:extLst>
                <a:ext uri="{FF2B5EF4-FFF2-40B4-BE49-F238E27FC236}">
                  <a16:creationId xmlns:a16="http://schemas.microsoft.com/office/drawing/2014/main" id="{012871D5-DAAD-4EDA-95AE-B419485752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474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8600" y="0"/>
              <a:ext cx="999172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286099</xdr:colOff>
      <xdr:row>6</xdr:row>
      <xdr:rowOff>188088</xdr:rowOff>
    </xdr:from>
    <xdr:to>
      <xdr:col>10</xdr:col>
      <xdr:colOff>693422</xdr:colOff>
      <xdr:row>31</xdr:row>
      <xdr:rowOff>41213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9897088-9D3D-453D-8E74-946A99E4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179" y="2458848"/>
          <a:ext cx="8225443" cy="4806125"/>
        </a:xfrm>
        <a:prstGeom prst="rect">
          <a:avLst/>
        </a:prstGeom>
      </xdr:spPr>
    </xdr:pic>
    <xdr:clientData/>
  </xdr:twoCellAnchor>
  <xdr:twoCellAnchor>
    <xdr:from>
      <xdr:col>3</xdr:col>
      <xdr:colOff>415634</xdr:colOff>
      <xdr:row>11</xdr:row>
      <xdr:rowOff>166254</xdr:rowOff>
    </xdr:from>
    <xdr:to>
      <xdr:col>3</xdr:col>
      <xdr:colOff>581234</xdr:colOff>
      <xdr:row>12</xdr:row>
      <xdr:rowOff>133734</xdr:rowOff>
    </xdr:to>
    <xdr:sp macro="" textlink="">
      <xdr:nvSpPr>
        <xdr:cNvPr id="4" name="Oval 340">
          <a:extLst>
            <a:ext uri="{FF2B5EF4-FFF2-40B4-BE49-F238E27FC236}">
              <a16:creationId xmlns:a16="http://schemas.microsoft.com/office/drawing/2014/main" id="{DFAFFAEE-5576-4E2C-805B-18261F90034E}"/>
            </a:ext>
          </a:extLst>
        </xdr:cNvPr>
        <xdr:cNvSpPr>
          <a:spLocks noChangeArrowheads="1"/>
        </xdr:cNvSpPr>
      </xdr:nvSpPr>
      <xdr:spPr bwMode="auto">
        <a:xfrm>
          <a:off x="1832954" y="342761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  <xdr:twoCellAnchor>
    <xdr:from>
      <xdr:col>3</xdr:col>
      <xdr:colOff>415634</xdr:colOff>
      <xdr:row>14</xdr:row>
      <xdr:rowOff>49875</xdr:rowOff>
    </xdr:from>
    <xdr:to>
      <xdr:col>3</xdr:col>
      <xdr:colOff>581234</xdr:colOff>
      <xdr:row>15</xdr:row>
      <xdr:rowOff>17355</xdr:rowOff>
    </xdr:to>
    <xdr:sp macro="" textlink="">
      <xdr:nvSpPr>
        <xdr:cNvPr id="5" name="Oval 340">
          <a:extLst>
            <a:ext uri="{FF2B5EF4-FFF2-40B4-BE49-F238E27FC236}">
              <a16:creationId xmlns:a16="http://schemas.microsoft.com/office/drawing/2014/main" id="{50D2711E-295A-4957-B7FF-0E3A05A9AFF0}"/>
            </a:ext>
          </a:extLst>
        </xdr:cNvPr>
        <xdr:cNvSpPr>
          <a:spLocks noChangeArrowheads="1"/>
        </xdr:cNvSpPr>
      </xdr:nvSpPr>
      <xdr:spPr bwMode="auto">
        <a:xfrm>
          <a:off x="1832954" y="390559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2</a:t>
          </a:r>
        </a:p>
      </xdr:txBody>
    </xdr:sp>
    <xdr:clientData/>
  </xdr:twoCellAnchor>
  <xdr:twoCellAnchor>
    <xdr:from>
      <xdr:col>3</xdr:col>
      <xdr:colOff>415634</xdr:colOff>
      <xdr:row>16</xdr:row>
      <xdr:rowOff>66500</xdr:rowOff>
    </xdr:from>
    <xdr:to>
      <xdr:col>3</xdr:col>
      <xdr:colOff>581234</xdr:colOff>
      <xdr:row>17</xdr:row>
      <xdr:rowOff>33980</xdr:rowOff>
    </xdr:to>
    <xdr:sp macro="" textlink="">
      <xdr:nvSpPr>
        <xdr:cNvPr id="7" name="Oval 340">
          <a:extLst>
            <a:ext uri="{FF2B5EF4-FFF2-40B4-BE49-F238E27FC236}">
              <a16:creationId xmlns:a16="http://schemas.microsoft.com/office/drawing/2014/main" id="{537AD768-60C8-4101-8CCC-998301AE078E}"/>
            </a:ext>
          </a:extLst>
        </xdr:cNvPr>
        <xdr:cNvSpPr>
          <a:spLocks noChangeArrowheads="1"/>
        </xdr:cNvSpPr>
      </xdr:nvSpPr>
      <xdr:spPr bwMode="auto">
        <a:xfrm>
          <a:off x="1832954" y="4318460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3</a:t>
          </a:r>
        </a:p>
      </xdr:txBody>
    </xdr:sp>
    <xdr:clientData/>
  </xdr:twoCellAnchor>
  <xdr:twoCellAnchor>
    <xdr:from>
      <xdr:col>3</xdr:col>
      <xdr:colOff>415634</xdr:colOff>
      <xdr:row>22</xdr:row>
      <xdr:rowOff>74813</xdr:rowOff>
    </xdr:from>
    <xdr:to>
      <xdr:col>3</xdr:col>
      <xdr:colOff>581234</xdr:colOff>
      <xdr:row>23</xdr:row>
      <xdr:rowOff>42293</xdr:rowOff>
    </xdr:to>
    <xdr:sp macro="" textlink="">
      <xdr:nvSpPr>
        <xdr:cNvPr id="8" name="Oval 340">
          <a:extLst>
            <a:ext uri="{FF2B5EF4-FFF2-40B4-BE49-F238E27FC236}">
              <a16:creationId xmlns:a16="http://schemas.microsoft.com/office/drawing/2014/main" id="{3A70BDDD-1508-440E-AFB5-A0A1AEAEB898}"/>
            </a:ext>
          </a:extLst>
        </xdr:cNvPr>
        <xdr:cNvSpPr>
          <a:spLocks noChangeArrowheads="1"/>
        </xdr:cNvSpPr>
      </xdr:nvSpPr>
      <xdr:spPr bwMode="auto">
        <a:xfrm>
          <a:off x="1832954" y="551549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4</a:t>
          </a:r>
        </a:p>
      </xdr:txBody>
    </xdr:sp>
    <xdr:clientData/>
  </xdr:twoCellAnchor>
  <xdr:twoCellAnchor>
    <xdr:from>
      <xdr:col>3</xdr:col>
      <xdr:colOff>415634</xdr:colOff>
      <xdr:row>27</xdr:row>
      <xdr:rowOff>24936</xdr:rowOff>
    </xdr:from>
    <xdr:to>
      <xdr:col>3</xdr:col>
      <xdr:colOff>581234</xdr:colOff>
      <xdr:row>27</xdr:row>
      <xdr:rowOff>190536</xdr:rowOff>
    </xdr:to>
    <xdr:sp macro="" textlink="">
      <xdr:nvSpPr>
        <xdr:cNvPr id="9" name="Oval 340">
          <a:extLst>
            <a:ext uri="{FF2B5EF4-FFF2-40B4-BE49-F238E27FC236}">
              <a16:creationId xmlns:a16="http://schemas.microsoft.com/office/drawing/2014/main" id="{E1D9FF7E-33A3-4349-8ACA-9445DF94455E}"/>
            </a:ext>
          </a:extLst>
        </xdr:cNvPr>
        <xdr:cNvSpPr>
          <a:spLocks noChangeArrowheads="1"/>
        </xdr:cNvSpPr>
      </xdr:nvSpPr>
      <xdr:spPr bwMode="auto">
        <a:xfrm>
          <a:off x="1832954" y="645621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5</a:t>
          </a:r>
        </a:p>
      </xdr:txBody>
    </xdr:sp>
    <xdr:clientData/>
  </xdr:twoCellAnchor>
  <xdr:twoCellAnchor>
    <xdr:from>
      <xdr:col>2</xdr:col>
      <xdr:colOff>216133</xdr:colOff>
      <xdr:row>27</xdr:row>
      <xdr:rowOff>24936</xdr:rowOff>
    </xdr:from>
    <xdr:to>
      <xdr:col>2</xdr:col>
      <xdr:colOff>381733</xdr:colOff>
      <xdr:row>27</xdr:row>
      <xdr:rowOff>190536</xdr:rowOff>
    </xdr:to>
    <xdr:sp macro="" textlink="">
      <xdr:nvSpPr>
        <xdr:cNvPr id="10" name="Oval 340">
          <a:extLst>
            <a:ext uri="{FF2B5EF4-FFF2-40B4-BE49-F238E27FC236}">
              <a16:creationId xmlns:a16="http://schemas.microsoft.com/office/drawing/2014/main" id="{51600D40-FCE4-4D55-92D7-D47276EBB0DC}"/>
            </a:ext>
          </a:extLst>
        </xdr:cNvPr>
        <xdr:cNvSpPr>
          <a:spLocks noChangeArrowheads="1"/>
        </xdr:cNvSpPr>
      </xdr:nvSpPr>
      <xdr:spPr bwMode="auto">
        <a:xfrm>
          <a:off x="856213" y="645621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5</a:t>
          </a:r>
        </a:p>
      </xdr:txBody>
    </xdr:sp>
    <xdr:clientData/>
  </xdr:twoCellAnchor>
  <xdr:twoCellAnchor>
    <xdr:from>
      <xdr:col>8</xdr:col>
      <xdr:colOff>764769</xdr:colOff>
      <xdr:row>11</xdr:row>
      <xdr:rowOff>166254</xdr:rowOff>
    </xdr:from>
    <xdr:to>
      <xdr:col>8</xdr:col>
      <xdr:colOff>930369</xdr:colOff>
      <xdr:row>12</xdr:row>
      <xdr:rowOff>133734</xdr:rowOff>
    </xdr:to>
    <xdr:sp macro="" textlink="">
      <xdr:nvSpPr>
        <xdr:cNvPr id="11" name="Oval 340">
          <a:extLst>
            <a:ext uri="{FF2B5EF4-FFF2-40B4-BE49-F238E27FC236}">
              <a16:creationId xmlns:a16="http://schemas.microsoft.com/office/drawing/2014/main" id="{ED8EC73C-577C-4200-8890-5DC8A39FC900}"/>
            </a:ext>
          </a:extLst>
        </xdr:cNvPr>
        <xdr:cNvSpPr>
          <a:spLocks noChangeArrowheads="1"/>
        </xdr:cNvSpPr>
      </xdr:nvSpPr>
      <xdr:spPr bwMode="auto">
        <a:xfrm>
          <a:off x="6068289" y="342761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6</a:t>
          </a:r>
        </a:p>
      </xdr:txBody>
    </xdr:sp>
    <xdr:clientData/>
  </xdr:twoCellAnchor>
  <xdr:twoCellAnchor>
    <xdr:from>
      <xdr:col>8</xdr:col>
      <xdr:colOff>764769</xdr:colOff>
      <xdr:row>16</xdr:row>
      <xdr:rowOff>66500</xdr:rowOff>
    </xdr:from>
    <xdr:to>
      <xdr:col>8</xdr:col>
      <xdr:colOff>930369</xdr:colOff>
      <xdr:row>17</xdr:row>
      <xdr:rowOff>33980</xdr:rowOff>
    </xdr:to>
    <xdr:sp macro="" textlink="">
      <xdr:nvSpPr>
        <xdr:cNvPr id="12" name="Oval 340">
          <a:extLst>
            <a:ext uri="{FF2B5EF4-FFF2-40B4-BE49-F238E27FC236}">
              <a16:creationId xmlns:a16="http://schemas.microsoft.com/office/drawing/2014/main" id="{72DE9C2F-9B2A-47E8-8736-75C8063835B2}"/>
            </a:ext>
          </a:extLst>
        </xdr:cNvPr>
        <xdr:cNvSpPr>
          <a:spLocks noChangeArrowheads="1"/>
        </xdr:cNvSpPr>
      </xdr:nvSpPr>
      <xdr:spPr bwMode="auto">
        <a:xfrm>
          <a:off x="6068289" y="4318460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8</a:t>
          </a:r>
        </a:p>
      </xdr:txBody>
    </xdr:sp>
    <xdr:clientData/>
  </xdr:twoCellAnchor>
  <xdr:twoCellAnchor>
    <xdr:from>
      <xdr:col>8</xdr:col>
      <xdr:colOff>764769</xdr:colOff>
      <xdr:row>22</xdr:row>
      <xdr:rowOff>74813</xdr:rowOff>
    </xdr:from>
    <xdr:to>
      <xdr:col>8</xdr:col>
      <xdr:colOff>930369</xdr:colOff>
      <xdr:row>23</xdr:row>
      <xdr:rowOff>42293</xdr:rowOff>
    </xdr:to>
    <xdr:sp macro="" textlink="">
      <xdr:nvSpPr>
        <xdr:cNvPr id="13" name="Oval 340">
          <a:extLst>
            <a:ext uri="{FF2B5EF4-FFF2-40B4-BE49-F238E27FC236}">
              <a16:creationId xmlns:a16="http://schemas.microsoft.com/office/drawing/2014/main" id="{927FEF45-D30C-4C3D-B8E9-859BF7BEBE82}"/>
            </a:ext>
          </a:extLst>
        </xdr:cNvPr>
        <xdr:cNvSpPr>
          <a:spLocks noChangeArrowheads="1"/>
        </xdr:cNvSpPr>
      </xdr:nvSpPr>
      <xdr:spPr bwMode="auto">
        <a:xfrm>
          <a:off x="6068289" y="551549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9</a:t>
          </a:r>
        </a:p>
      </xdr:txBody>
    </xdr:sp>
    <xdr:clientData/>
  </xdr:twoCellAnchor>
  <xdr:twoCellAnchor>
    <xdr:from>
      <xdr:col>8</xdr:col>
      <xdr:colOff>831273</xdr:colOff>
      <xdr:row>27</xdr:row>
      <xdr:rowOff>24936</xdr:rowOff>
    </xdr:from>
    <xdr:to>
      <xdr:col>8</xdr:col>
      <xdr:colOff>996873</xdr:colOff>
      <xdr:row>27</xdr:row>
      <xdr:rowOff>190536</xdr:rowOff>
    </xdr:to>
    <xdr:sp macro="" textlink="">
      <xdr:nvSpPr>
        <xdr:cNvPr id="14" name="Oval 340">
          <a:extLst>
            <a:ext uri="{FF2B5EF4-FFF2-40B4-BE49-F238E27FC236}">
              <a16:creationId xmlns:a16="http://schemas.microsoft.com/office/drawing/2014/main" id="{A8414615-BBA2-43C6-A001-7243E59288FA}"/>
            </a:ext>
          </a:extLst>
        </xdr:cNvPr>
        <xdr:cNvSpPr>
          <a:spLocks noChangeArrowheads="1"/>
        </xdr:cNvSpPr>
      </xdr:nvSpPr>
      <xdr:spPr bwMode="auto">
        <a:xfrm>
          <a:off x="6134793" y="645621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10</a:t>
          </a:r>
        </a:p>
      </xdr:txBody>
    </xdr:sp>
    <xdr:clientData/>
  </xdr:twoCellAnchor>
  <xdr:twoCellAnchor>
    <xdr:from>
      <xdr:col>7</xdr:col>
      <xdr:colOff>955963</xdr:colOff>
      <xdr:row>27</xdr:row>
      <xdr:rowOff>24936</xdr:rowOff>
    </xdr:from>
    <xdr:to>
      <xdr:col>7</xdr:col>
      <xdr:colOff>1121563</xdr:colOff>
      <xdr:row>27</xdr:row>
      <xdr:rowOff>190536</xdr:rowOff>
    </xdr:to>
    <xdr:sp macro="" textlink="">
      <xdr:nvSpPr>
        <xdr:cNvPr id="15" name="Oval 340">
          <a:extLst>
            <a:ext uri="{FF2B5EF4-FFF2-40B4-BE49-F238E27FC236}">
              <a16:creationId xmlns:a16="http://schemas.microsoft.com/office/drawing/2014/main" id="{8C82A35F-7ECA-4DC4-9EC1-0326D62D4407}"/>
            </a:ext>
          </a:extLst>
        </xdr:cNvPr>
        <xdr:cNvSpPr>
          <a:spLocks noChangeArrowheads="1"/>
        </xdr:cNvSpPr>
      </xdr:nvSpPr>
      <xdr:spPr bwMode="auto">
        <a:xfrm>
          <a:off x="5063143" y="645621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10</a:t>
          </a:r>
        </a:p>
      </xdr:txBody>
    </xdr:sp>
    <xdr:clientData/>
  </xdr:twoCellAnchor>
  <xdr:twoCellAnchor>
    <xdr:from>
      <xdr:col>8</xdr:col>
      <xdr:colOff>773082</xdr:colOff>
      <xdr:row>14</xdr:row>
      <xdr:rowOff>49875</xdr:rowOff>
    </xdr:from>
    <xdr:to>
      <xdr:col>8</xdr:col>
      <xdr:colOff>938682</xdr:colOff>
      <xdr:row>15</xdr:row>
      <xdr:rowOff>17355</xdr:rowOff>
    </xdr:to>
    <xdr:sp macro="" textlink="">
      <xdr:nvSpPr>
        <xdr:cNvPr id="16" name="Oval 340">
          <a:extLst>
            <a:ext uri="{FF2B5EF4-FFF2-40B4-BE49-F238E27FC236}">
              <a16:creationId xmlns:a16="http://schemas.microsoft.com/office/drawing/2014/main" id="{681DC5F0-DE4D-4B3B-A083-C13BA280F10D}"/>
            </a:ext>
          </a:extLst>
        </xdr:cNvPr>
        <xdr:cNvSpPr>
          <a:spLocks noChangeArrowheads="1"/>
        </xdr:cNvSpPr>
      </xdr:nvSpPr>
      <xdr:spPr bwMode="auto">
        <a:xfrm>
          <a:off x="6076602" y="390559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7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723900</xdr:colOff>
          <xdr:row>0</xdr:row>
          <xdr:rowOff>781050</xdr:rowOff>
        </xdr:to>
        <xdr:pic>
          <xdr:nvPicPr>
            <xdr:cNvPr id="17" name="그림 16">
              <a:extLst>
                <a:ext uri="{FF2B5EF4-FFF2-40B4-BE49-F238E27FC236}">
                  <a16:creationId xmlns:a16="http://schemas.microsoft.com/office/drawing/2014/main" id="{EBA8F6A4-988A-4FE3-AF46-FB990F53C3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576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8600" y="0"/>
              <a:ext cx="999172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0</xdr:row>
          <xdr:rowOff>0</xdr:rowOff>
        </xdr:from>
        <xdr:to>
          <xdr:col>10</xdr:col>
          <xdr:colOff>274321</xdr:colOff>
          <xdr:row>0</xdr:row>
          <xdr:rowOff>773084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B4D86834-0427-48ED-8C13-9BE5BBA164F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67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881" y="0"/>
              <a:ext cx="7498080" cy="7730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551086</xdr:colOff>
      <xdr:row>5</xdr:row>
      <xdr:rowOff>144520</xdr:rowOff>
    </xdr:from>
    <xdr:to>
      <xdr:col>10</xdr:col>
      <xdr:colOff>1055717</xdr:colOff>
      <xdr:row>30</xdr:row>
      <xdr:rowOff>53324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EDCE075-6E89-48F1-83EE-8E8E22F14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527" y="2188473"/>
          <a:ext cx="7360186" cy="4554151"/>
        </a:xfrm>
        <a:prstGeom prst="rect">
          <a:avLst/>
        </a:prstGeom>
      </xdr:spPr>
    </xdr:pic>
    <xdr:clientData/>
  </xdr:twoCellAnchor>
  <xdr:twoCellAnchor>
    <xdr:from>
      <xdr:col>2</xdr:col>
      <xdr:colOff>459647</xdr:colOff>
      <xdr:row>9</xdr:row>
      <xdr:rowOff>176035</xdr:rowOff>
    </xdr:from>
    <xdr:to>
      <xdr:col>2</xdr:col>
      <xdr:colOff>625247</xdr:colOff>
      <xdr:row>10</xdr:row>
      <xdr:rowOff>143515</xdr:rowOff>
    </xdr:to>
    <xdr:sp macro="" textlink="">
      <xdr:nvSpPr>
        <xdr:cNvPr id="4" name="Oval 340">
          <a:extLst>
            <a:ext uri="{FF2B5EF4-FFF2-40B4-BE49-F238E27FC236}">
              <a16:creationId xmlns:a16="http://schemas.microsoft.com/office/drawing/2014/main" id="{6AD0E359-A855-4070-9617-6026F68679E7}"/>
            </a:ext>
          </a:extLst>
        </xdr:cNvPr>
        <xdr:cNvSpPr>
          <a:spLocks noChangeArrowheads="1"/>
        </xdr:cNvSpPr>
      </xdr:nvSpPr>
      <xdr:spPr bwMode="auto">
        <a:xfrm>
          <a:off x="1092107" y="304115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  <xdr:twoCellAnchor>
    <xdr:from>
      <xdr:col>2</xdr:col>
      <xdr:colOff>459647</xdr:colOff>
      <xdr:row>12</xdr:row>
      <xdr:rowOff>13841</xdr:rowOff>
    </xdr:from>
    <xdr:to>
      <xdr:col>2</xdr:col>
      <xdr:colOff>625247</xdr:colOff>
      <xdr:row>12</xdr:row>
      <xdr:rowOff>179441</xdr:rowOff>
    </xdr:to>
    <xdr:sp macro="" textlink="">
      <xdr:nvSpPr>
        <xdr:cNvPr id="6" name="Oval 340">
          <a:extLst>
            <a:ext uri="{FF2B5EF4-FFF2-40B4-BE49-F238E27FC236}">
              <a16:creationId xmlns:a16="http://schemas.microsoft.com/office/drawing/2014/main" id="{ABB6C178-FE31-4C99-A795-A11C3F2AE11A}"/>
            </a:ext>
          </a:extLst>
        </xdr:cNvPr>
        <xdr:cNvSpPr>
          <a:spLocks noChangeArrowheads="1"/>
        </xdr:cNvSpPr>
      </xdr:nvSpPr>
      <xdr:spPr bwMode="auto">
        <a:xfrm>
          <a:off x="1092107" y="347332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2</a:t>
          </a:r>
        </a:p>
      </xdr:txBody>
    </xdr:sp>
    <xdr:clientData/>
  </xdr:twoCellAnchor>
  <xdr:twoCellAnchor>
    <xdr:from>
      <xdr:col>2</xdr:col>
      <xdr:colOff>459647</xdr:colOff>
      <xdr:row>14</xdr:row>
      <xdr:rowOff>13839</xdr:rowOff>
    </xdr:from>
    <xdr:to>
      <xdr:col>2</xdr:col>
      <xdr:colOff>625247</xdr:colOff>
      <xdr:row>14</xdr:row>
      <xdr:rowOff>179439</xdr:rowOff>
    </xdr:to>
    <xdr:sp macro="" textlink="">
      <xdr:nvSpPr>
        <xdr:cNvPr id="7" name="Oval 340">
          <a:extLst>
            <a:ext uri="{FF2B5EF4-FFF2-40B4-BE49-F238E27FC236}">
              <a16:creationId xmlns:a16="http://schemas.microsoft.com/office/drawing/2014/main" id="{CED4CEF8-078D-44C1-9C0A-6CDC82ECE5D8}"/>
            </a:ext>
          </a:extLst>
        </xdr:cNvPr>
        <xdr:cNvSpPr>
          <a:spLocks noChangeArrowheads="1"/>
        </xdr:cNvSpPr>
      </xdr:nvSpPr>
      <xdr:spPr bwMode="auto">
        <a:xfrm>
          <a:off x="1092107" y="386955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3</a:t>
          </a:r>
        </a:p>
      </xdr:txBody>
    </xdr:sp>
    <xdr:clientData/>
  </xdr:twoCellAnchor>
  <xdr:twoCellAnchor>
    <xdr:from>
      <xdr:col>2</xdr:col>
      <xdr:colOff>459647</xdr:colOff>
      <xdr:row>17</xdr:row>
      <xdr:rowOff>176033</xdr:rowOff>
    </xdr:from>
    <xdr:to>
      <xdr:col>2</xdr:col>
      <xdr:colOff>625247</xdr:colOff>
      <xdr:row>18</xdr:row>
      <xdr:rowOff>143513</xdr:rowOff>
    </xdr:to>
    <xdr:sp macro="" textlink="">
      <xdr:nvSpPr>
        <xdr:cNvPr id="8" name="Oval 340">
          <a:extLst>
            <a:ext uri="{FF2B5EF4-FFF2-40B4-BE49-F238E27FC236}">
              <a16:creationId xmlns:a16="http://schemas.microsoft.com/office/drawing/2014/main" id="{D7C9F912-1F80-4983-B9C4-580464BF8C29}"/>
            </a:ext>
          </a:extLst>
        </xdr:cNvPr>
        <xdr:cNvSpPr>
          <a:spLocks noChangeArrowheads="1"/>
        </xdr:cNvSpPr>
      </xdr:nvSpPr>
      <xdr:spPr bwMode="auto">
        <a:xfrm>
          <a:off x="1092107" y="462611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4</a:t>
          </a:r>
        </a:p>
      </xdr:txBody>
    </xdr:sp>
    <xdr:clientData/>
  </xdr:twoCellAnchor>
  <xdr:twoCellAnchor>
    <xdr:from>
      <xdr:col>2</xdr:col>
      <xdr:colOff>459647</xdr:colOff>
      <xdr:row>23</xdr:row>
      <xdr:rowOff>13841</xdr:rowOff>
    </xdr:from>
    <xdr:to>
      <xdr:col>2</xdr:col>
      <xdr:colOff>625247</xdr:colOff>
      <xdr:row>23</xdr:row>
      <xdr:rowOff>179441</xdr:rowOff>
    </xdr:to>
    <xdr:sp macro="" textlink="">
      <xdr:nvSpPr>
        <xdr:cNvPr id="9" name="Oval 340">
          <a:extLst>
            <a:ext uri="{FF2B5EF4-FFF2-40B4-BE49-F238E27FC236}">
              <a16:creationId xmlns:a16="http://schemas.microsoft.com/office/drawing/2014/main" id="{6851D2F0-3DCC-407F-8258-EA9A09A0AA14}"/>
            </a:ext>
          </a:extLst>
        </xdr:cNvPr>
        <xdr:cNvSpPr>
          <a:spLocks noChangeArrowheads="1"/>
        </xdr:cNvSpPr>
      </xdr:nvSpPr>
      <xdr:spPr bwMode="auto">
        <a:xfrm>
          <a:off x="1092107" y="565264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5</a:t>
          </a:r>
        </a:p>
      </xdr:txBody>
    </xdr:sp>
    <xdr:clientData/>
  </xdr:twoCellAnchor>
  <xdr:twoCellAnchor>
    <xdr:from>
      <xdr:col>2</xdr:col>
      <xdr:colOff>459647</xdr:colOff>
      <xdr:row>25</xdr:row>
      <xdr:rowOff>129496</xdr:rowOff>
    </xdr:from>
    <xdr:to>
      <xdr:col>2</xdr:col>
      <xdr:colOff>625247</xdr:colOff>
      <xdr:row>26</xdr:row>
      <xdr:rowOff>96976</xdr:rowOff>
    </xdr:to>
    <xdr:sp macro="" textlink="">
      <xdr:nvSpPr>
        <xdr:cNvPr id="10" name="Oval 340">
          <a:extLst>
            <a:ext uri="{FF2B5EF4-FFF2-40B4-BE49-F238E27FC236}">
              <a16:creationId xmlns:a16="http://schemas.microsoft.com/office/drawing/2014/main" id="{72EFE0F0-3F87-4D9D-8DA9-D2D70C4E5B6B}"/>
            </a:ext>
          </a:extLst>
        </xdr:cNvPr>
        <xdr:cNvSpPr>
          <a:spLocks noChangeArrowheads="1"/>
        </xdr:cNvSpPr>
      </xdr:nvSpPr>
      <xdr:spPr bwMode="auto">
        <a:xfrm>
          <a:off x="1092107" y="616453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6</a:t>
          </a:r>
        </a:p>
      </xdr:txBody>
    </xdr:sp>
    <xdr:clientData/>
  </xdr:twoCellAnchor>
  <xdr:twoCellAnchor>
    <xdr:from>
      <xdr:col>7</xdr:col>
      <xdr:colOff>27086</xdr:colOff>
      <xdr:row>9</xdr:row>
      <xdr:rowOff>176035</xdr:rowOff>
    </xdr:from>
    <xdr:to>
      <xdr:col>7</xdr:col>
      <xdr:colOff>192686</xdr:colOff>
      <xdr:row>10</xdr:row>
      <xdr:rowOff>143515</xdr:rowOff>
    </xdr:to>
    <xdr:sp macro="" textlink="">
      <xdr:nvSpPr>
        <xdr:cNvPr id="11" name="Oval 340">
          <a:extLst>
            <a:ext uri="{FF2B5EF4-FFF2-40B4-BE49-F238E27FC236}">
              <a16:creationId xmlns:a16="http://schemas.microsoft.com/office/drawing/2014/main" id="{3F71EDD7-F914-4EF6-BECE-741299DBBFA0}"/>
            </a:ext>
          </a:extLst>
        </xdr:cNvPr>
        <xdr:cNvSpPr>
          <a:spLocks noChangeArrowheads="1"/>
        </xdr:cNvSpPr>
      </xdr:nvSpPr>
      <xdr:spPr bwMode="auto">
        <a:xfrm>
          <a:off x="4126646" y="304115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7</a:t>
          </a:r>
        </a:p>
      </xdr:txBody>
    </xdr:sp>
    <xdr:clientData/>
  </xdr:twoCellAnchor>
  <xdr:twoCellAnchor>
    <xdr:from>
      <xdr:col>7</xdr:col>
      <xdr:colOff>27086</xdr:colOff>
      <xdr:row>14</xdr:row>
      <xdr:rowOff>13839</xdr:rowOff>
    </xdr:from>
    <xdr:to>
      <xdr:col>7</xdr:col>
      <xdr:colOff>192686</xdr:colOff>
      <xdr:row>14</xdr:row>
      <xdr:rowOff>179439</xdr:rowOff>
    </xdr:to>
    <xdr:sp macro="" textlink="">
      <xdr:nvSpPr>
        <xdr:cNvPr id="12" name="Oval 340">
          <a:extLst>
            <a:ext uri="{FF2B5EF4-FFF2-40B4-BE49-F238E27FC236}">
              <a16:creationId xmlns:a16="http://schemas.microsoft.com/office/drawing/2014/main" id="{C0E44C99-051F-4672-BF37-1B232DB8BBE5}"/>
            </a:ext>
          </a:extLst>
        </xdr:cNvPr>
        <xdr:cNvSpPr>
          <a:spLocks noChangeArrowheads="1"/>
        </xdr:cNvSpPr>
      </xdr:nvSpPr>
      <xdr:spPr bwMode="auto">
        <a:xfrm>
          <a:off x="4126646" y="386955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9</a:t>
          </a:r>
        </a:p>
      </xdr:txBody>
    </xdr:sp>
    <xdr:clientData/>
  </xdr:twoCellAnchor>
  <xdr:twoCellAnchor>
    <xdr:from>
      <xdr:col>7</xdr:col>
      <xdr:colOff>27086</xdr:colOff>
      <xdr:row>17</xdr:row>
      <xdr:rowOff>176033</xdr:rowOff>
    </xdr:from>
    <xdr:to>
      <xdr:col>7</xdr:col>
      <xdr:colOff>192686</xdr:colOff>
      <xdr:row>18</xdr:row>
      <xdr:rowOff>143513</xdr:rowOff>
    </xdr:to>
    <xdr:sp macro="" textlink="">
      <xdr:nvSpPr>
        <xdr:cNvPr id="13" name="Oval 340">
          <a:extLst>
            <a:ext uri="{FF2B5EF4-FFF2-40B4-BE49-F238E27FC236}">
              <a16:creationId xmlns:a16="http://schemas.microsoft.com/office/drawing/2014/main" id="{5D56CFDD-AEC3-4A52-9A24-227251924D82}"/>
            </a:ext>
          </a:extLst>
        </xdr:cNvPr>
        <xdr:cNvSpPr>
          <a:spLocks noChangeArrowheads="1"/>
        </xdr:cNvSpPr>
      </xdr:nvSpPr>
      <xdr:spPr bwMode="auto">
        <a:xfrm>
          <a:off x="4126646" y="4626113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10</a:t>
          </a:r>
        </a:p>
      </xdr:txBody>
    </xdr:sp>
    <xdr:clientData/>
  </xdr:twoCellAnchor>
  <xdr:twoCellAnchor>
    <xdr:from>
      <xdr:col>7</xdr:col>
      <xdr:colOff>27086</xdr:colOff>
      <xdr:row>23</xdr:row>
      <xdr:rowOff>13841</xdr:rowOff>
    </xdr:from>
    <xdr:to>
      <xdr:col>7</xdr:col>
      <xdr:colOff>192686</xdr:colOff>
      <xdr:row>23</xdr:row>
      <xdr:rowOff>179441</xdr:rowOff>
    </xdr:to>
    <xdr:sp macro="" textlink="">
      <xdr:nvSpPr>
        <xdr:cNvPr id="14" name="Oval 340">
          <a:extLst>
            <a:ext uri="{FF2B5EF4-FFF2-40B4-BE49-F238E27FC236}">
              <a16:creationId xmlns:a16="http://schemas.microsoft.com/office/drawing/2014/main" id="{F991B6C8-84D1-4971-86A5-32B704C00105}"/>
            </a:ext>
          </a:extLst>
        </xdr:cNvPr>
        <xdr:cNvSpPr>
          <a:spLocks noChangeArrowheads="1"/>
        </xdr:cNvSpPr>
      </xdr:nvSpPr>
      <xdr:spPr bwMode="auto">
        <a:xfrm>
          <a:off x="4126646" y="565264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11</a:t>
          </a:r>
        </a:p>
      </xdr:txBody>
    </xdr:sp>
    <xdr:clientData/>
  </xdr:twoCellAnchor>
  <xdr:twoCellAnchor>
    <xdr:from>
      <xdr:col>7</xdr:col>
      <xdr:colOff>27086</xdr:colOff>
      <xdr:row>25</xdr:row>
      <xdr:rowOff>129496</xdr:rowOff>
    </xdr:from>
    <xdr:to>
      <xdr:col>7</xdr:col>
      <xdr:colOff>192686</xdr:colOff>
      <xdr:row>26</xdr:row>
      <xdr:rowOff>96976</xdr:rowOff>
    </xdr:to>
    <xdr:sp macro="" textlink="">
      <xdr:nvSpPr>
        <xdr:cNvPr id="15" name="Oval 340">
          <a:extLst>
            <a:ext uri="{FF2B5EF4-FFF2-40B4-BE49-F238E27FC236}">
              <a16:creationId xmlns:a16="http://schemas.microsoft.com/office/drawing/2014/main" id="{E09F0321-4ECF-4B0C-A875-9AFBA85B920A}"/>
            </a:ext>
          </a:extLst>
        </xdr:cNvPr>
        <xdr:cNvSpPr>
          <a:spLocks noChangeArrowheads="1"/>
        </xdr:cNvSpPr>
      </xdr:nvSpPr>
      <xdr:spPr bwMode="auto">
        <a:xfrm>
          <a:off x="4126646" y="616453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12</a:t>
          </a:r>
        </a:p>
      </xdr:txBody>
    </xdr:sp>
    <xdr:clientData/>
  </xdr:twoCellAnchor>
  <xdr:twoCellAnchor>
    <xdr:from>
      <xdr:col>6</xdr:col>
      <xdr:colOff>285610</xdr:colOff>
      <xdr:row>12</xdr:row>
      <xdr:rowOff>13841</xdr:rowOff>
    </xdr:from>
    <xdr:to>
      <xdr:col>7</xdr:col>
      <xdr:colOff>16870</xdr:colOff>
      <xdr:row>12</xdr:row>
      <xdr:rowOff>179441</xdr:rowOff>
    </xdr:to>
    <xdr:sp macro="" textlink="">
      <xdr:nvSpPr>
        <xdr:cNvPr id="16" name="Oval 340">
          <a:extLst>
            <a:ext uri="{FF2B5EF4-FFF2-40B4-BE49-F238E27FC236}">
              <a16:creationId xmlns:a16="http://schemas.microsoft.com/office/drawing/2014/main" id="{CF8F5ECA-3643-4D75-BC73-66A56D0C2F00}"/>
            </a:ext>
          </a:extLst>
        </xdr:cNvPr>
        <xdr:cNvSpPr>
          <a:spLocks noChangeArrowheads="1"/>
        </xdr:cNvSpPr>
      </xdr:nvSpPr>
      <xdr:spPr bwMode="auto">
        <a:xfrm>
          <a:off x="3950830" y="347332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8</a:t>
          </a:r>
        </a:p>
      </xdr:txBody>
    </xdr:sp>
    <xdr:clientData/>
  </xdr:twoCellAnchor>
  <xdr:twoCellAnchor>
    <xdr:from>
      <xdr:col>9</xdr:col>
      <xdr:colOff>293347</xdr:colOff>
      <xdr:row>9</xdr:row>
      <xdr:rowOff>176035</xdr:rowOff>
    </xdr:from>
    <xdr:to>
      <xdr:col>9</xdr:col>
      <xdr:colOff>458947</xdr:colOff>
      <xdr:row>10</xdr:row>
      <xdr:rowOff>143515</xdr:rowOff>
    </xdr:to>
    <xdr:sp macro="" textlink="">
      <xdr:nvSpPr>
        <xdr:cNvPr id="17" name="Oval 340">
          <a:extLst>
            <a:ext uri="{FF2B5EF4-FFF2-40B4-BE49-F238E27FC236}">
              <a16:creationId xmlns:a16="http://schemas.microsoft.com/office/drawing/2014/main" id="{B368AFFD-6781-41BB-ABA6-F90FE5C5A065}"/>
            </a:ext>
          </a:extLst>
        </xdr:cNvPr>
        <xdr:cNvSpPr>
          <a:spLocks noChangeArrowheads="1"/>
        </xdr:cNvSpPr>
      </xdr:nvSpPr>
      <xdr:spPr bwMode="auto">
        <a:xfrm>
          <a:off x="7547587" y="304115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13</a:t>
          </a:r>
        </a:p>
      </xdr:txBody>
    </xdr:sp>
    <xdr:clientData/>
  </xdr:twoCellAnchor>
  <xdr:twoCellAnchor>
    <xdr:from>
      <xdr:col>9</xdr:col>
      <xdr:colOff>293347</xdr:colOff>
      <xdr:row>14</xdr:row>
      <xdr:rowOff>13839</xdr:rowOff>
    </xdr:from>
    <xdr:to>
      <xdr:col>9</xdr:col>
      <xdr:colOff>458947</xdr:colOff>
      <xdr:row>14</xdr:row>
      <xdr:rowOff>179439</xdr:rowOff>
    </xdr:to>
    <xdr:sp macro="" textlink="">
      <xdr:nvSpPr>
        <xdr:cNvPr id="18" name="Oval 340">
          <a:extLst>
            <a:ext uri="{FF2B5EF4-FFF2-40B4-BE49-F238E27FC236}">
              <a16:creationId xmlns:a16="http://schemas.microsoft.com/office/drawing/2014/main" id="{7194AC80-CD02-404C-8AD9-1A611CCF56F3}"/>
            </a:ext>
          </a:extLst>
        </xdr:cNvPr>
        <xdr:cNvSpPr>
          <a:spLocks noChangeArrowheads="1"/>
        </xdr:cNvSpPr>
      </xdr:nvSpPr>
      <xdr:spPr bwMode="auto">
        <a:xfrm>
          <a:off x="7547587" y="386955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15</a:t>
          </a:r>
        </a:p>
      </xdr:txBody>
    </xdr:sp>
    <xdr:clientData/>
  </xdr:twoCellAnchor>
  <xdr:twoCellAnchor>
    <xdr:from>
      <xdr:col>9</xdr:col>
      <xdr:colOff>293347</xdr:colOff>
      <xdr:row>12</xdr:row>
      <xdr:rowOff>11906</xdr:rowOff>
    </xdr:from>
    <xdr:to>
      <xdr:col>9</xdr:col>
      <xdr:colOff>458947</xdr:colOff>
      <xdr:row>12</xdr:row>
      <xdr:rowOff>177506</xdr:rowOff>
    </xdr:to>
    <xdr:sp macro="" textlink="">
      <xdr:nvSpPr>
        <xdr:cNvPr id="19" name="Oval 340">
          <a:extLst>
            <a:ext uri="{FF2B5EF4-FFF2-40B4-BE49-F238E27FC236}">
              <a16:creationId xmlns:a16="http://schemas.microsoft.com/office/drawing/2014/main" id="{299B23A0-F5AA-40C5-897A-69D26508FBB8}"/>
            </a:ext>
          </a:extLst>
        </xdr:cNvPr>
        <xdr:cNvSpPr>
          <a:spLocks noChangeArrowheads="1"/>
        </xdr:cNvSpPr>
      </xdr:nvSpPr>
      <xdr:spPr bwMode="auto">
        <a:xfrm>
          <a:off x="7547587" y="3471386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14</a:t>
          </a:r>
        </a:p>
      </xdr:txBody>
    </xdr:sp>
    <xdr:clientData/>
  </xdr:twoCellAnchor>
  <xdr:twoCellAnchor>
    <xdr:from>
      <xdr:col>9</xdr:col>
      <xdr:colOff>293347</xdr:colOff>
      <xdr:row>27</xdr:row>
      <xdr:rowOff>122265</xdr:rowOff>
    </xdr:from>
    <xdr:to>
      <xdr:col>9</xdr:col>
      <xdr:colOff>458947</xdr:colOff>
      <xdr:row>28</xdr:row>
      <xdr:rowOff>89745</xdr:rowOff>
    </xdr:to>
    <xdr:sp macro="" textlink="">
      <xdr:nvSpPr>
        <xdr:cNvPr id="20" name="Oval 340">
          <a:extLst>
            <a:ext uri="{FF2B5EF4-FFF2-40B4-BE49-F238E27FC236}">
              <a16:creationId xmlns:a16="http://schemas.microsoft.com/office/drawing/2014/main" id="{93A8EE10-B583-4C4F-B39A-AAF0BCADC886}"/>
            </a:ext>
          </a:extLst>
        </xdr:cNvPr>
        <xdr:cNvSpPr>
          <a:spLocks noChangeArrowheads="1"/>
        </xdr:cNvSpPr>
      </xdr:nvSpPr>
      <xdr:spPr bwMode="auto">
        <a:xfrm>
          <a:off x="7547587" y="6553545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16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282632</xdr:colOff>
          <xdr:row>0</xdr:row>
          <xdr:rowOff>773084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5EFA8D2F-3C32-44F3-BCCD-BEB2C6E25B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78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880" y="0"/>
              <a:ext cx="7498079" cy="7730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590204</xdr:colOff>
      <xdr:row>5</xdr:row>
      <xdr:rowOff>49878</xdr:rowOff>
    </xdr:from>
    <xdr:to>
      <xdr:col>10</xdr:col>
      <xdr:colOff>683543</xdr:colOff>
      <xdr:row>31</xdr:row>
      <xdr:rowOff>141318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A189C07-B43F-4018-828D-C1F5C48AE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2284" y="2130138"/>
          <a:ext cx="7134219" cy="5242560"/>
        </a:xfrm>
        <a:prstGeom prst="rect">
          <a:avLst/>
        </a:prstGeom>
      </xdr:spPr>
    </xdr:pic>
    <xdr:clientData/>
  </xdr:twoCellAnchor>
  <xdr:twoCellAnchor>
    <xdr:from>
      <xdr:col>4</xdr:col>
      <xdr:colOff>133003</xdr:colOff>
      <xdr:row>26</xdr:row>
      <xdr:rowOff>198119</xdr:rowOff>
    </xdr:from>
    <xdr:to>
      <xdr:col>4</xdr:col>
      <xdr:colOff>298603</xdr:colOff>
      <xdr:row>27</xdr:row>
      <xdr:rowOff>165599</xdr:rowOff>
    </xdr:to>
    <xdr:sp macro="" textlink="">
      <xdr:nvSpPr>
        <xdr:cNvPr id="4" name="Oval 340">
          <a:extLst>
            <a:ext uri="{FF2B5EF4-FFF2-40B4-BE49-F238E27FC236}">
              <a16:creationId xmlns:a16="http://schemas.microsoft.com/office/drawing/2014/main" id="{817B8C69-4238-41DA-A639-F3DFA3E88461}"/>
            </a:ext>
          </a:extLst>
        </xdr:cNvPr>
        <xdr:cNvSpPr>
          <a:spLocks noChangeArrowheads="1"/>
        </xdr:cNvSpPr>
      </xdr:nvSpPr>
      <xdr:spPr bwMode="auto">
        <a:xfrm>
          <a:off x="2312323" y="643889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3</a:t>
          </a:r>
        </a:p>
      </xdr:txBody>
    </xdr:sp>
    <xdr:clientData/>
  </xdr:twoCellAnchor>
  <xdr:twoCellAnchor>
    <xdr:from>
      <xdr:col>4</xdr:col>
      <xdr:colOff>133003</xdr:colOff>
      <xdr:row>16</xdr:row>
      <xdr:rowOff>149629</xdr:rowOff>
    </xdr:from>
    <xdr:to>
      <xdr:col>4</xdr:col>
      <xdr:colOff>298603</xdr:colOff>
      <xdr:row>17</xdr:row>
      <xdr:rowOff>117109</xdr:rowOff>
    </xdr:to>
    <xdr:sp macro="" textlink="">
      <xdr:nvSpPr>
        <xdr:cNvPr id="6" name="Oval 340">
          <a:extLst>
            <a:ext uri="{FF2B5EF4-FFF2-40B4-BE49-F238E27FC236}">
              <a16:creationId xmlns:a16="http://schemas.microsoft.com/office/drawing/2014/main" id="{C4088352-34F6-4AD8-9002-E73ECE781366}"/>
            </a:ext>
          </a:extLst>
        </xdr:cNvPr>
        <xdr:cNvSpPr>
          <a:spLocks noChangeArrowheads="1"/>
        </xdr:cNvSpPr>
      </xdr:nvSpPr>
      <xdr:spPr bwMode="auto">
        <a:xfrm>
          <a:off x="2312323" y="4409209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2</a:t>
          </a:r>
        </a:p>
      </xdr:txBody>
    </xdr:sp>
    <xdr:clientData/>
  </xdr:twoCellAnchor>
  <xdr:twoCellAnchor>
    <xdr:from>
      <xdr:col>4</xdr:col>
      <xdr:colOff>133003</xdr:colOff>
      <xdr:row>13</xdr:row>
      <xdr:rowOff>116378</xdr:rowOff>
    </xdr:from>
    <xdr:to>
      <xdr:col>4</xdr:col>
      <xdr:colOff>298603</xdr:colOff>
      <xdr:row>14</xdr:row>
      <xdr:rowOff>83858</xdr:rowOff>
    </xdr:to>
    <xdr:sp macro="" textlink="">
      <xdr:nvSpPr>
        <xdr:cNvPr id="7" name="Oval 340">
          <a:extLst>
            <a:ext uri="{FF2B5EF4-FFF2-40B4-BE49-F238E27FC236}">
              <a16:creationId xmlns:a16="http://schemas.microsoft.com/office/drawing/2014/main" id="{28F03318-6436-4337-B240-036566AE55CC}"/>
            </a:ext>
          </a:extLst>
        </xdr:cNvPr>
        <xdr:cNvSpPr>
          <a:spLocks noChangeArrowheads="1"/>
        </xdr:cNvSpPr>
      </xdr:nvSpPr>
      <xdr:spPr bwMode="auto">
        <a:xfrm>
          <a:off x="2312323" y="3781598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0</xdr:row>
          <xdr:rowOff>0</xdr:rowOff>
        </xdr:from>
        <xdr:to>
          <xdr:col>10</xdr:col>
          <xdr:colOff>307570</xdr:colOff>
          <xdr:row>0</xdr:row>
          <xdr:rowOff>773084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3ED06817-E446-40C5-826B-19F1D0AB0F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88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881" y="0"/>
              <a:ext cx="7514704" cy="7730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4</xdr:col>
      <xdr:colOff>590204</xdr:colOff>
      <xdr:row>5</xdr:row>
      <xdr:rowOff>91439</xdr:rowOff>
    </xdr:from>
    <xdr:to>
      <xdr:col>9</xdr:col>
      <xdr:colOff>384284</xdr:colOff>
      <xdr:row>31</xdr:row>
      <xdr:rowOff>832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439D88F-8D51-4622-B1B4-135A48655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19" y="2136370"/>
          <a:ext cx="4233076" cy="4652843"/>
        </a:xfrm>
        <a:prstGeom prst="rect">
          <a:avLst/>
        </a:prstGeom>
      </xdr:spPr>
    </xdr:pic>
    <xdr:clientData/>
  </xdr:twoCellAnchor>
  <xdr:twoCellAnchor>
    <xdr:from>
      <xdr:col>4</xdr:col>
      <xdr:colOff>540326</xdr:colOff>
      <xdr:row>8</xdr:row>
      <xdr:rowOff>41564</xdr:rowOff>
    </xdr:from>
    <xdr:to>
      <xdr:col>4</xdr:col>
      <xdr:colOff>705926</xdr:colOff>
      <xdr:row>9</xdr:row>
      <xdr:rowOff>9044</xdr:rowOff>
    </xdr:to>
    <xdr:sp macro="" textlink="">
      <xdr:nvSpPr>
        <xdr:cNvPr id="4" name="Oval 340">
          <a:extLst>
            <a:ext uri="{FF2B5EF4-FFF2-40B4-BE49-F238E27FC236}">
              <a16:creationId xmlns:a16="http://schemas.microsoft.com/office/drawing/2014/main" id="{9BF32C81-6283-4BC7-A780-3E42A446CE03}"/>
            </a:ext>
          </a:extLst>
        </xdr:cNvPr>
        <xdr:cNvSpPr>
          <a:spLocks noChangeArrowheads="1"/>
        </xdr:cNvSpPr>
      </xdr:nvSpPr>
      <xdr:spPr bwMode="auto">
        <a:xfrm>
          <a:off x="2712026" y="271618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  <xdr:twoCellAnchor>
    <xdr:from>
      <xdr:col>8</xdr:col>
      <xdr:colOff>99753</xdr:colOff>
      <xdr:row>8</xdr:row>
      <xdr:rowOff>41564</xdr:rowOff>
    </xdr:from>
    <xdr:to>
      <xdr:col>8</xdr:col>
      <xdr:colOff>265353</xdr:colOff>
      <xdr:row>9</xdr:row>
      <xdr:rowOff>9044</xdr:rowOff>
    </xdr:to>
    <xdr:sp macro="" textlink="">
      <xdr:nvSpPr>
        <xdr:cNvPr id="6" name="Oval 340">
          <a:extLst>
            <a:ext uri="{FF2B5EF4-FFF2-40B4-BE49-F238E27FC236}">
              <a16:creationId xmlns:a16="http://schemas.microsoft.com/office/drawing/2014/main" id="{232880BD-5E2F-46AF-B297-C6A7D3C2FB50}"/>
            </a:ext>
          </a:extLst>
        </xdr:cNvPr>
        <xdr:cNvSpPr>
          <a:spLocks noChangeArrowheads="1"/>
        </xdr:cNvSpPr>
      </xdr:nvSpPr>
      <xdr:spPr bwMode="auto">
        <a:xfrm>
          <a:off x="5380413" y="271618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1</a:t>
          </a:r>
        </a:p>
      </xdr:txBody>
    </xdr:sp>
    <xdr:clientData/>
  </xdr:twoCellAnchor>
  <xdr:twoCellAnchor>
    <xdr:from>
      <xdr:col>7</xdr:col>
      <xdr:colOff>24936</xdr:colOff>
      <xdr:row>15</xdr:row>
      <xdr:rowOff>33251</xdr:rowOff>
    </xdr:from>
    <xdr:to>
      <xdr:col>7</xdr:col>
      <xdr:colOff>190536</xdr:colOff>
      <xdr:row>16</xdr:row>
      <xdr:rowOff>731</xdr:rowOff>
    </xdr:to>
    <xdr:sp macro="" textlink="">
      <xdr:nvSpPr>
        <xdr:cNvPr id="7" name="Oval 340">
          <a:extLst>
            <a:ext uri="{FF2B5EF4-FFF2-40B4-BE49-F238E27FC236}">
              <a16:creationId xmlns:a16="http://schemas.microsoft.com/office/drawing/2014/main" id="{8104C944-DD80-43A9-975C-C213EAF57043}"/>
            </a:ext>
          </a:extLst>
        </xdr:cNvPr>
        <xdr:cNvSpPr>
          <a:spLocks noChangeArrowheads="1"/>
        </xdr:cNvSpPr>
      </xdr:nvSpPr>
      <xdr:spPr bwMode="auto">
        <a:xfrm>
          <a:off x="4109256" y="4094711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2</a:t>
          </a:r>
        </a:p>
      </xdr:txBody>
    </xdr:sp>
    <xdr:clientData/>
  </xdr:twoCellAnchor>
  <xdr:twoCellAnchor>
    <xdr:from>
      <xdr:col>7</xdr:col>
      <xdr:colOff>24936</xdr:colOff>
      <xdr:row>23</xdr:row>
      <xdr:rowOff>41564</xdr:rowOff>
    </xdr:from>
    <xdr:to>
      <xdr:col>7</xdr:col>
      <xdr:colOff>190536</xdr:colOff>
      <xdr:row>24</xdr:row>
      <xdr:rowOff>9044</xdr:rowOff>
    </xdr:to>
    <xdr:sp macro="" textlink="">
      <xdr:nvSpPr>
        <xdr:cNvPr id="8" name="Oval 340">
          <a:extLst>
            <a:ext uri="{FF2B5EF4-FFF2-40B4-BE49-F238E27FC236}">
              <a16:creationId xmlns:a16="http://schemas.microsoft.com/office/drawing/2014/main" id="{8ED0BC68-5453-4A7D-A07C-B40BE4358FF8}"/>
            </a:ext>
          </a:extLst>
        </xdr:cNvPr>
        <xdr:cNvSpPr>
          <a:spLocks noChangeArrowheads="1"/>
        </xdr:cNvSpPr>
      </xdr:nvSpPr>
      <xdr:spPr bwMode="auto">
        <a:xfrm>
          <a:off x="4109256" y="5687984"/>
          <a:ext cx="165600" cy="1656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algn="ctr"/>
          <a:r>
            <a:rPr lang="en-US" altLang="ko-KR" sz="700">
              <a:solidFill>
                <a:srgbClr val="FFFFFF"/>
              </a:solidFill>
              <a:latin typeface="Arial" charset="0"/>
              <a:cs typeface="Arial" charset="0"/>
            </a:rPr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28C9DD-11F6-4254-9BC7-D85FD1A0A27C}" name="표1_1" displayName="표1_1" ref="B5:M10" totalsRowShown="0" headerRowDxfId="158" dataDxfId="157" headerRowCellStyle="표준 2" dataCellStyle="표준 2">
  <autoFilter ref="B5:M10" xr:uid="{C7A76FBE-B684-43CA-8B9C-A38C55E91D94}"/>
  <tableColumns count="12">
    <tableColumn id="1" xr3:uid="{91EAC50E-882C-4591-BFE3-066DC959B560}" name="SYS" dataDxfId="156"/>
    <tableColumn id="2" xr3:uid="{877A5732-0683-410B-B4A4-845D69849DD0}" name="시나리오 수" dataDxfId="155">
      <calculatedColumnFormula>SUM(C2:C5)</calculatedColumnFormula>
    </tableColumn>
    <tableColumn id="3" xr3:uid="{0F0F2662-1338-4E55-BB40-AE1F76095DE6}" name="Pass" dataDxfId="154"/>
    <tableColumn id="4" xr3:uid="{F7DC9CD8-2124-4F6C-9A36-710846B9EAB5}" name="Fail" dataDxfId="153"/>
    <tableColumn id="5" xr3:uid="{AC93A4C0-5A47-49E6-9DAC-CDD5BF34FF2D}" name="Block" dataDxfId="152"/>
    <tableColumn id="6" xr3:uid="{81C0B29B-BB71-4D13-97CB-BC14814145EF}" name="N/A" dataDxfId="151"/>
    <tableColumn id="7" xr3:uid="{B967CD78-A8D0-4276-8B79-CA58E45074D2}" name="Total" dataDxfId="150" dataCellStyle="표준 2"/>
    <tableColumn id="8" xr3:uid="{5F1BCBF3-694B-4AC4-A016-E906E48C70B1}" name="진척율" dataDxfId="140" dataCellStyle="백분율">
      <calculatedColumnFormula>IFERROR(표1_1[[#This Row],[Total]]/표1_1[[#This Row],[시나리오 수]],0)</calculatedColumnFormula>
    </tableColumn>
    <tableColumn id="9" xr3:uid="{AF8455D3-26F4-43A9-9DC5-8B6EE2EE9C83}" name="수행율" dataDxfId="5" dataCellStyle="백분율">
      <calculatedColumnFormula>IFERROR(SUM(표1_1[[#This Row],[Pass]:[Fail]])/(표1_1[[#This Row],[시나리오 수]]-표1_1[[#This Row],[N/A]]),0)</calculatedColumnFormula>
    </tableColumn>
    <tableColumn id="10" xr3:uid="{C55EC9E2-F2D7-4C7A-9825-D816EEA34E77}" name="성공율" dataDxfId="149" dataCellStyle="백분율"/>
    <tableColumn id="11" xr3:uid="{65E88CD3-6384-46AE-A997-4ECCA8FD4DD4}" name="결함율" dataDxfId="139" dataCellStyle="백분율">
      <calculatedColumnFormula>IFERROR((표1_1[[#This Row],[Fail]]/SUM(표1_1[[#This Row],[Pass]:[Fail]])),0)</calculatedColumnFormula>
    </tableColumn>
    <tableColumn id="12" xr3:uid="{02793493-904C-414F-A680-CD3D81DC5BCF}" name="수행불가율" dataDxfId="4" dataCellStyle="백분율">
      <calculatedColumnFormula>IFERROR((표1_1[[#This Row],[Block]]/표1_1[[#This Row],[시나리오 수]]),0)</calculatedColumnFormula>
    </tableColumn>
  </tableColumns>
  <tableStyleInfo name="표 스타일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A4D992-D99B-4AA6-BFCD-7BB1ADEF1781}" name="Result_sheet" displayName="Result_sheet" ref="B71:M79" totalsRowShown="0" headerRowDxfId="20" dataDxfId="148" headerRowBorderDxfId="32" tableBorderDxfId="33" totalsRowBorderDxfId="31" headerRowCellStyle="표준 2" dataCellStyle="표준 2">
  <autoFilter ref="B71:M79" xr:uid="{A72CDD24-10C1-47FB-83CF-1C2F5E3B19E7}"/>
  <tableColumns count="12">
    <tableColumn id="1" xr3:uid="{FCF53985-FA99-4CC2-B6CA-8B23A432A693}" name="Sheet명" dataDxfId="30"/>
    <tableColumn id="2" xr3:uid="{F31DEE8F-AB34-4403-8A6B-ABC601D7BFF0}" name="시나리오 수" dataDxfId="29"/>
    <tableColumn id="3" xr3:uid="{C92F0936-57E4-4AE9-8361-E0430D6D66EB}" name="Pass" dataDxfId="28"/>
    <tableColumn id="4" xr3:uid="{BC5EF7EC-E20F-4ACE-AB4D-11D140B09E64}" name="Fail" dataDxfId="27"/>
    <tableColumn id="5" xr3:uid="{395E28B0-1AF1-43DA-8A28-59FBAFBEF3E4}" name="Block" dataDxfId="26"/>
    <tableColumn id="6" xr3:uid="{234E036E-5BE2-45DB-8F3E-42EFE5F603C6}" name="N/A" dataDxfId="25"/>
    <tableColumn id="7" xr3:uid="{259A12CB-069D-40F2-AEF3-6535388C1AB3}" name="Total" dataDxfId="24" dataCellStyle="표준 2"/>
    <tableColumn id="8" xr3:uid="{ACE9DD12-DF99-45AE-A626-3128D0C08FE7}" name="진척율" dataDxfId="23" dataCellStyle="백분율">
      <calculatedColumnFormula>IFERROR(Result_sheet[[#This Row],[Total]]/Result_sheet[[#This Row],[시나리오 수]],0)</calculatedColumnFormula>
    </tableColumn>
    <tableColumn id="9" xr3:uid="{06DA9A2D-0426-4C83-B423-13EA4BC61A2A}" name="수행율" dataDxfId="3" dataCellStyle="백분율">
      <calculatedColumnFormula>IFERROR(SUM(Result_sheet[[#This Row],[Pass]:[Fail]])/(Result_sheet[[#This Row],[시나리오 수]]-Result_sheet[[#This Row],[N/A]]),0)</calculatedColumnFormula>
    </tableColumn>
    <tableColumn id="10" xr3:uid="{2F3E2527-54A4-4F03-939B-3F6E2BA8A1B8}" name="성공율" dataDxfId="22" dataCellStyle="백분율"/>
    <tableColumn id="11" xr3:uid="{5F2F958F-4721-454D-A7C6-1380E2B6E738}" name="결함율" dataDxfId="21" dataCellStyle="백분율">
      <calculatedColumnFormula>IFERROR((Result_sheet[[#This Row],[Fail]]/SUM(Result_sheet[[#This Row],[Pass]:[Fail]])),0)</calculatedColumnFormula>
    </tableColumn>
    <tableColumn id="12" xr3:uid="{79D46DDD-7B4F-4578-A76A-39B42D0E96EC}" name="수행불가율" dataDxfId="1" dataCellStyle="백분율">
      <calculatedColumnFormula>IFERROR((Result_sheet[[#This Row],[Block]]/Result_sheet[[#This Row],[시나리오 수]]),0)</calculatedColumnFormula>
    </tableColumn>
  </tableColumns>
  <tableStyleInfo name="표 스타일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CCE852-0A58-4142-920C-AC1187BAD589}" name="Result_sys" displayName="Result_sys" ref="B81:M86" totalsRowShown="0" headerRowDxfId="6" dataDxfId="147" headerRowBorderDxfId="18" tableBorderDxfId="19" totalsRowBorderDxfId="17" headerRowCellStyle="표준 2" dataCellStyle="표준 2">
  <autoFilter ref="B81:M86" xr:uid="{1C7603DC-F556-4A35-9610-D818FDDA49CF}"/>
  <tableColumns count="12">
    <tableColumn id="1" xr3:uid="{2A406CB8-5260-4E9E-859C-0DC319EEFADE}" name="SYS" dataDxfId="16"/>
    <tableColumn id="2" xr3:uid="{F9429240-4A5A-46C3-8887-28B30D5A83E8}" name="시나리오 수" dataDxfId="15"/>
    <tableColumn id="3" xr3:uid="{BD22BBCD-5322-4AE0-AD79-87BC08DA6928}" name="Pass" dataDxfId="14"/>
    <tableColumn id="4" xr3:uid="{CB365788-CE8C-4E65-BC6F-903A155C1D7D}" name="Fail" dataDxfId="13"/>
    <tableColumn id="5" xr3:uid="{08B05252-6B6E-4924-8272-0E5BCC54392E}" name="Block" dataDxfId="12"/>
    <tableColumn id="6" xr3:uid="{446C79D6-7103-478C-87DD-DE885EF084F1}" name="N/A" dataDxfId="11"/>
    <tableColumn id="7" xr3:uid="{72D6CD4D-3516-4D45-8CC9-8732B3954C26}" name="Total" dataDxfId="10" dataCellStyle="표준 2"/>
    <tableColumn id="8" xr3:uid="{B2B08E63-C58E-4BB6-9DB7-EAA793D0CF60}" name="진척율" dataDxfId="9" dataCellStyle="백분율">
      <calculatedColumnFormula>IFERROR(Result_sys[[#This Row],[Total]]/Result_sys[[#This Row],[시나리오 수]],0)</calculatedColumnFormula>
    </tableColumn>
    <tableColumn id="9" xr3:uid="{4587C3FB-6BF8-453A-A7D4-CD75C8A15276}" name="수행율" dataDxfId="2" dataCellStyle="백분율">
      <calculatedColumnFormula>IFERROR(SUM(Result_sys[[#This Row],[Pass]:[Fail]])/(Result_sys[[#This Row],[시나리오 수]]-Result_sys[[#This Row],[N/A]]),0)</calculatedColumnFormula>
    </tableColumn>
    <tableColumn id="10" xr3:uid="{82945E3C-1E93-4A81-9AE9-61B7E54FC0CC}" name="성공율" dataDxfId="8" dataCellStyle="백분율"/>
    <tableColumn id="11" xr3:uid="{20D4C03A-4B4A-4D46-94F9-DD7A13603F22}" name="결함율" dataDxfId="7" dataCellStyle="백분율">
      <calculatedColumnFormula>IFERROR((Result_sys[[#This Row],[Fail]]/SUM(Result_sys[[#This Row],[Pass]:[Fail]])),0)</calculatedColumnFormula>
    </tableColumn>
    <tableColumn id="12" xr3:uid="{C6ED4578-7B8F-49D8-94C4-AEED1A90BBC3}" name="수행불가율" dataDxfId="0" dataCellStyle="백분율">
      <calculatedColumnFormula>IFERROR((Result_sys[[#This Row],[Block]]/Result_sys[[#This Row],[시나리오 수]]),0)</calculatedColumnFormula>
    </tableColumn>
  </tableColumns>
  <tableStyleInfo name="표 스타일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5DD718-737A-4620-8559-0C4348CBBCDB}" name="표1_2" displayName="표1_2" ref="B14:M19" totalsRowShown="0" headerRowDxfId="114" dataDxfId="146" headerRowBorderDxfId="128" tableBorderDxfId="129" totalsRowBorderDxfId="127" headerRowCellStyle="표준 2" dataCellStyle="표준 2">
  <autoFilter ref="B14:M19" xr:uid="{965AFB27-D09E-40D2-9C8C-7DB9D2AC195D}"/>
  <tableColumns count="12">
    <tableColumn id="1" xr3:uid="{893D2496-FFA0-4DEE-8D3B-3E5623BA8A60}" name="SYS" dataDxfId="126"/>
    <tableColumn id="2" xr3:uid="{D4803D90-20B3-4806-A1E6-766504E288A0}" name="시나리오 수" dataDxfId="125">
      <calculatedColumnFormula>COUNTIF(TS_회원가입[SYS],표1_1[[#This Row],[SYS]])</calculatedColumnFormula>
    </tableColumn>
    <tableColumn id="3" xr3:uid="{B6781554-624E-4833-902C-F2C187EB9E00}" name="Pass" dataDxfId="124"/>
    <tableColumn id="4" xr3:uid="{9D1E7F0A-3397-4147-AB3E-3097E9CC63EC}" name="Fail" dataDxfId="123"/>
    <tableColumn id="5" xr3:uid="{109D5B9B-BC36-4126-9C4B-81331135F12F}" name="Block" dataDxfId="122"/>
    <tableColumn id="6" xr3:uid="{240797B2-4B64-489F-9A04-8B88802947E3}" name="N/A" dataDxfId="121"/>
    <tableColumn id="7" xr3:uid="{4DAC46A2-2960-48EB-9DE5-58BDD2864ED7}" name="Total" dataDxfId="120" dataCellStyle="표준 2"/>
    <tableColumn id="8" xr3:uid="{BFA0C2C4-E0B9-4380-85C8-36E95D6EA008}" name="진척율" dataDxfId="119" dataCellStyle="백분율">
      <calculatedColumnFormula>IFERROR(표1_1[[#This Row],[Total]]/표1_1[[#This Row],[시나리오 수]],0)</calculatedColumnFormula>
    </tableColumn>
    <tableColumn id="9" xr3:uid="{A4E4A146-86DB-4B08-A57C-CA1A36DCF78D}" name="수행율" dataDxfId="118" dataCellStyle="백분율">
      <calculatedColumnFormula>IFERROR(SUM(표1_1[[#This Row],[Pass]:[Fail]])/표1_1[[#This Row],[시나리오 수]],0)</calculatedColumnFormula>
    </tableColumn>
    <tableColumn id="10" xr3:uid="{82E5FDA0-90EE-41EF-93FA-33F57AC51213}" name="성공율" dataDxfId="117" dataCellStyle="백분율"/>
    <tableColumn id="11" xr3:uid="{B142BA63-9326-4E48-8DDB-90531EE9114C}" name="결함율" dataDxfId="116" dataCellStyle="백분율">
      <calculatedColumnFormula>IFERROR((표1_1[[#This Row],[Fail]]/SUM(표1_1[[#This Row],[Pass]:[Fail]])),0)</calculatedColumnFormula>
    </tableColumn>
    <tableColumn id="12" xr3:uid="{DFA1ACB7-D5BC-4D6D-B370-64163DF5E11C}" name="수행불가율" dataDxfId="115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B3838A-6E42-4269-B16B-C26E055E6C02}" name="표1_3" displayName="표1_3" ref="B23:M28" totalsRowShown="0" headerRowDxfId="98" dataDxfId="145" headerRowBorderDxfId="112" tableBorderDxfId="113" totalsRowBorderDxfId="111" headerRowCellStyle="표준 2" dataCellStyle="표준 2">
  <autoFilter ref="B23:M28" xr:uid="{AF4E70F5-159A-42C2-85B0-B2ABBBB26551}"/>
  <tableColumns count="12">
    <tableColumn id="1" xr3:uid="{92090B76-7C82-4939-9641-32CDA0595FB6}" name="SYS" dataDxfId="110"/>
    <tableColumn id="2" xr3:uid="{D3F50064-EAA3-4438-93D1-A4E26D2DC051}" name="시나리오 수" dataDxfId="109">
      <calculatedColumnFormula>COUNTIF(TS_회원가입[SYS],표1_1[[#This Row],[SYS]])</calculatedColumnFormula>
    </tableColumn>
    <tableColumn id="3" xr3:uid="{0B512901-5DF2-438B-B4FA-F08A265CA1C6}" name="Pass" dataDxfId="108"/>
    <tableColumn id="4" xr3:uid="{419DE4A2-C50F-4A62-B288-86FD0AB76AD2}" name="Fail" dataDxfId="107"/>
    <tableColumn id="5" xr3:uid="{81E9D965-9927-418D-91E5-8A28342B545A}" name="Block" dataDxfId="106"/>
    <tableColumn id="6" xr3:uid="{4C9C08BC-671F-449B-A455-68916A729104}" name="N/A" dataDxfId="105"/>
    <tableColumn id="7" xr3:uid="{38C00981-1E8D-401B-BACD-53186FE79DD0}" name="Total" dataDxfId="104" dataCellStyle="표준 2"/>
    <tableColumn id="8" xr3:uid="{B77D6E08-103F-4C6D-9B63-0F75F0B207F6}" name="진척율" dataDxfId="103" dataCellStyle="백분율">
      <calculatedColumnFormula>IFERROR(표1_3[[#This Row],[Total]]/표1_3[[#This Row],[시나리오 수]],0)</calculatedColumnFormula>
    </tableColumn>
    <tableColumn id="9" xr3:uid="{BC2C622D-364B-4697-988D-4E07620CE7A6}" name="수행율" dataDxfId="102" dataCellStyle="백분율">
      <calculatedColumnFormula>IFERROR(SUM(표1_1[[#This Row],[Pass]:[Fail]])/표1_1[[#This Row],[시나리오 수]],0)</calculatedColumnFormula>
    </tableColumn>
    <tableColumn id="10" xr3:uid="{65E4CFE0-D77D-4FEA-9817-24139B735E18}" name="성공율" dataDxfId="101" dataCellStyle="백분율"/>
    <tableColumn id="11" xr3:uid="{2FF5B75B-16B5-4436-8980-CF835F705266}" name="결함율" dataDxfId="100" dataCellStyle="백분율">
      <calculatedColumnFormula>IFERROR((표1_1[[#This Row],[Fail]]/SUM(표1_1[[#This Row],[Pass]:[Fail]])),0)</calculatedColumnFormula>
    </tableColumn>
    <tableColumn id="12" xr3:uid="{6D07588D-BE1C-4630-9190-DEDAE4106364}" name="수행불가율" dataDxfId="99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FEFF47-7E2A-45E7-B288-7BF4CA476BCC}" name="표1_4" displayName="표1_4" ref="B32:M37" totalsRowShown="0" headerRowDxfId="82" dataDxfId="144" headerRowBorderDxfId="96" tableBorderDxfId="97" totalsRowBorderDxfId="95" headerRowCellStyle="표준 2" dataCellStyle="표준 2">
  <autoFilter ref="B32:M37" xr:uid="{863ABA0D-9C19-4867-954F-918457FC8535}"/>
  <tableColumns count="12">
    <tableColumn id="1" xr3:uid="{0861EC87-91F6-4185-AD50-6A1B7A30CBD9}" name="SYS" dataDxfId="94"/>
    <tableColumn id="2" xr3:uid="{A91AA32E-1ABE-4508-A72C-79B363C5D575}" name="시나리오 수" dataDxfId="93">
      <calculatedColumnFormula>COUNTIF(TS_회원가입[SYS],표1_1[[#This Row],[SYS]])</calculatedColumnFormula>
    </tableColumn>
    <tableColumn id="3" xr3:uid="{58CD2594-9995-43E2-BB4A-EDECD5BAEB5C}" name="Pass" dataDxfId="92"/>
    <tableColumn id="4" xr3:uid="{46732B43-CBC8-480E-A1CB-76817FA2A53F}" name="Fail" dataDxfId="91"/>
    <tableColumn id="5" xr3:uid="{033E0FC9-FEF6-4B89-8C7A-9A8DDBB1ECE9}" name="Block" dataDxfId="90"/>
    <tableColumn id="6" xr3:uid="{1C9F6D5E-F4F9-4C04-B863-892D5FA8F299}" name="N/A" dataDxfId="89"/>
    <tableColumn id="7" xr3:uid="{4FDF52DE-C1AE-48DA-AA13-F3A07D4FF254}" name="Total" dataDxfId="88" dataCellStyle="표준 2"/>
    <tableColumn id="8" xr3:uid="{E9F47286-C306-4B0A-AACB-21D4CDB86C99}" name="진척율" dataDxfId="87" dataCellStyle="백분율">
      <calculatedColumnFormula>IFERROR(표1_1[[#This Row],[Total]]/표1_1[[#This Row],[시나리오 수]],0)</calculatedColumnFormula>
    </tableColumn>
    <tableColumn id="9" xr3:uid="{6EA3C059-4124-477E-AE50-CD80FE69E8F8}" name="수행율" dataDxfId="86" dataCellStyle="백분율">
      <calculatedColumnFormula>IFERROR(SUM(표1_1[[#This Row],[Pass]:[Fail]])/표1_1[[#This Row],[시나리오 수]],0)</calculatedColumnFormula>
    </tableColumn>
    <tableColumn id="10" xr3:uid="{D68BCEBA-CCC9-4099-8E8B-9867F469B7EB}" name="성공율" dataDxfId="85" dataCellStyle="백분율"/>
    <tableColumn id="11" xr3:uid="{57208F4E-3651-44EF-9F30-EE0DC46049DF}" name="결함율" dataDxfId="84" dataCellStyle="백분율">
      <calculatedColumnFormula>IFERROR((표1_1[[#This Row],[Fail]]/SUM(표1_1[[#This Row],[Pass]:[Fail]])),0)</calculatedColumnFormula>
    </tableColumn>
    <tableColumn id="12" xr3:uid="{71AF076C-87E2-435D-A033-DC0E2B3EA67E}" name="수행불가율" dataDxfId="83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9F0393E-9EBF-4A70-986E-19351D1103CD}" name="표1_5" displayName="표1_5" ref="B41:M46" totalsRowShown="0" headerRowDxfId="66" dataDxfId="143" headerRowBorderDxfId="80" tableBorderDxfId="81" totalsRowBorderDxfId="79" headerRowCellStyle="표준 2" dataCellStyle="표준 2">
  <autoFilter ref="B41:M46" xr:uid="{3E29FD82-0D33-4905-9EF3-D8ADE9D5EA88}"/>
  <tableColumns count="12">
    <tableColumn id="1" xr3:uid="{87E1CC70-40B2-4C4F-830A-C24CF9E3FBA7}" name="SYS" dataDxfId="78"/>
    <tableColumn id="2" xr3:uid="{C6DE30D4-7E28-4749-9FFB-AA6F63F32EFA}" name="시나리오 수" dataDxfId="77"/>
    <tableColumn id="3" xr3:uid="{EADBEF42-8F8D-4CB6-ACF7-A615B6662357}" name="Pass" dataDxfId="76"/>
    <tableColumn id="4" xr3:uid="{B5288DBE-141E-4774-A204-24751ECA62D4}" name="Fail" dataDxfId="75"/>
    <tableColumn id="5" xr3:uid="{6F0B07FA-7AD6-4352-91A5-90CCAA1ED071}" name="Block" dataDxfId="74"/>
    <tableColumn id="6" xr3:uid="{7FB3CA6D-6302-480E-A52F-75232C691503}" name="N/A" dataDxfId="73"/>
    <tableColumn id="7" xr3:uid="{1BFF3B6D-9B38-4419-AA3D-C534B710348D}" name="Total" dataDxfId="72" dataCellStyle="표준 2"/>
    <tableColumn id="8" xr3:uid="{A1289E8E-0CF8-4764-83FF-8431EFAB6C3E}" name="진척율" dataDxfId="71" dataCellStyle="백분율">
      <calculatedColumnFormula>IFERROR(표1_1[[#This Row],[Total]]/표1_1[[#This Row],[시나리오 수]],0)</calculatedColumnFormula>
    </tableColumn>
    <tableColumn id="9" xr3:uid="{E7C4D09A-DF98-450D-B9E8-416725B37E6E}" name="수행율" dataDxfId="70" dataCellStyle="백분율">
      <calculatedColumnFormula>IFERROR(SUM(표1_1[[#This Row],[Pass]:[Fail]])/표1_1[[#This Row],[시나리오 수]],0)</calculatedColumnFormula>
    </tableColumn>
    <tableColumn id="10" xr3:uid="{ACF3083F-0455-44B4-8639-64EE8D95DB05}" name="성공율" dataDxfId="69" dataCellStyle="백분율"/>
    <tableColumn id="11" xr3:uid="{9E6FD06F-0418-4299-B78F-C02A86E2D169}" name="결함율" dataDxfId="68" dataCellStyle="백분율">
      <calculatedColumnFormula>IFERROR((표1_1[[#This Row],[Fail]]/SUM(표1_1[[#This Row],[Pass]:[Fail]])),0)</calculatedColumnFormula>
    </tableColumn>
    <tableColumn id="12" xr3:uid="{E55F487F-A6CC-49C3-A85D-F2EEC8DE407D}" name="수행불가율" dataDxfId="67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821DE72-EC0B-4F9D-8753-6F43A4BB2923}" name="표1_6" displayName="표1_6" ref="B50:M55" totalsRowShown="0" headerRowDxfId="50" dataDxfId="142" headerRowBorderDxfId="64" tableBorderDxfId="65" totalsRowBorderDxfId="63" headerRowCellStyle="표준 2" dataCellStyle="표준 2">
  <autoFilter ref="B50:M55" xr:uid="{D4B80050-AD16-4816-A9FA-FED40D7221BD}"/>
  <tableColumns count="12">
    <tableColumn id="1" xr3:uid="{144FA6C4-9F9F-4467-8655-CAEC9605B2DC}" name="SYS" dataDxfId="62"/>
    <tableColumn id="2" xr3:uid="{9B65EF0E-6500-4CB2-A863-F3FA3E5E12AD}" name="시나리오 수" dataDxfId="61"/>
    <tableColumn id="3" xr3:uid="{8225AE14-A02A-4BCB-98E1-865FE60EB0A9}" name="Pass" dataDxfId="60"/>
    <tableColumn id="4" xr3:uid="{1E9B9763-CC42-492F-A806-F7DA67DFADA4}" name="Fail" dataDxfId="59"/>
    <tableColumn id="5" xr3:uid="{7470904A-9894-497C-AFBC-C60C4AC85986}" name="Block" dataDxfId="58"/>
    <tableColumn id="6" xr3:uid="{995539D1-8891-4B3E-A734-1E97322D868D}" name="N/A" dataDxfId="57"/>
    <tableColumn id="7" xr3:uid="{3B1F3EDB-DFA2-45E0-8932-345EEF097E8A}" name="Total" dataDxfId="56" dataCellStyle="표준 2"/>
    <tableColumn id="8" xr3:uid="{38F7698C-795D-4D2E-B422-6B661125DE7B}" name="진척율" dataDxfId="55" dataCellStyle="백분율">
      <calculatedColumnFormula>IFERROR(표1_1[[#This Row],[Total]]/표1_1[[#This Row],[시나리오 수]],0)</calculatedColumnFormula>
    </tableColumn>
    <tableColumn id="9" xr3:uid="{0D8BB81B-EFAC-4B90-A044-ADCD08AA50FF}" name="수행율" dataDxfId="54" dataCellStyle="백분율">
      <calculatedColumnFormula>IFERROR(SUM(표1_1[[#This Row],[Pass]:[Fail]])/표1_1[[#This Row],[시나리오 수]],0)</calculatedColumnFormula>
    </tableColumn>
    <tableColumn id="10" xr3:uid="{2429D836-C913-4168-A9D3-81472EFFFB78}" name="성공율" dataDxfId="53" dataCellStyle="백분율"/>
    <tableColumn id="11" xr3:uid="{6EA659FB-2797-4668-930D-B426B12623B9}" name="결함율" dataDxfId="52" dataCellStyle="백분율">
      <calculatedColumnFormula>IFERROR((표1_1[[#This Row],[Fail]]/SUM(표1_1[[#This Row],[Pass]:[Fail]])),0)</calculatedColumnFormula>
    </tableColumn>
    <tableColumn id="12" xr3:uid="{E07F5534-1F81-4F75-A2C3-DC22E49D11B9}" name="수행불가율" dataDxfId="51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2CAFA94-4E42-4079-B5E2-AD1862D3AB16}" name="표1_7" displayName="표1_7" ref="B59:M64" totalsRowShown="0" headerRowDxfId="34" dataDxfId="141" headerRowBorderDxfId="48" tableBorderDxfId="49" totalsRowBorderDxfId="47" headerRowCellStyle="표준 2" dataCellStyle="표준 2">
  <autoFilter ref="B59:M64" xr:uid="{70A79430-E707-41C3-8DE2-803272A2576C}"/>
  <tableColumns count="12">
    <tableColumn id="1" xr3:uid="{A8076B17-D1FB-4BD5-A276-ED37DD8643C0}" name="SYS" dataDxfId="46"/>
    <tableColumn id="2" xr3:uid="{0FC34A9E-0A37-4B45-B016-F02CB34E7F0C}" name="시나리오 수" dataDxfId="45"/>
    <tableColumn id="3" xr3:uid="{02AE4085-F151-4DE5-BA93-86C5594F94D5}" name="Pass" dataDxfId="44"/>
    <tableColumn id="4" xr3:uid="{75CFE3EE-CCFE-44D0-A77C-5197BA245A24}" name="Fail" dataDxfId="43"/>
    <tableColumn id="5" xr3:uid="{7F8F102B-F4ED-4EDC-817D-1B4000CAF817}" name="Block" dataDxfId="42"/>
    <tableColumn id="6" xr3:uid="{D5E20D10-E07E-4818-96D0-14C49DA29AE5}" name="N/A" dataDxfId="41"/>
    <tableColumn id="7" xr3:uid="{E15B2D66-DCF2-416F-A725-957318B169D0}" name="Total" dataDxfId="40" dataCellStyle="표준 2"/>
    <tableColumn id="8" xr3:uid="{91416B5C-26ED-4892-A3B7-63F9E5ECCBB1}" name="진척율" dataDxfId="39" dataCellStyle="백분율">
      <calculatedColumnFormula>IFERROR(표1_1[[#This Row],[Total]]/표1_1[[#This Row],[시나리오 수]],0)</calculatedColumnFormula>
    </tableColumn>
    <tableColumn id="9" xr3:uid="{C8576621-B86B-466F-8C5B-3B9E484DC4D1}" name="수행율" dataDxfId="38" dataCellStyle="백분율">
      <calculatedColumnFormula>IFERROR(SUM(표1_1[[#This Row],[Pass]:[Fail]])/표1_1[[#This Row],[시나리오 수]],0)</calculatedColumnFormula>
    </tableColumn>
    <tableColumn id="10" xr3:uid="{12ECBFA9-4D77-45D9-8BCF-7A4CEAA046FD}" name="성공율" dataDxfId="37" dataCellStyle="백분율"/>
    <tableColumn id="11" xr3:uid="{597B1A66-9836-4F28-971E-B9C23AFD97A4}" name="결함율" dataDxfId="36" dataCellStyle="백분율">
      <calculatedColumnFormula>IFERROR((표1_1[[#This Row],[Fail]]/SUM(표1_1[[#This Row],[Pass]:[Fail]])),0)</calculatedColumnFormula>
    </tableColumn>
    <tableColumn id="12" xr3:uid="{E4FF3880-1993-4B63-8027-2ED4196BB6C8}" name="수행불가율" dataDxfId="35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35C5F-F65A-4C72-8281-D5B7A971448C}" name="TS_회원가입" displayName="TS_회원가입" ref="B39:Q109" totalsRowShown="0" headerRowDxfId="271" dataDxfId="296" headerRowBorderDxfId="288" tableBorderDxfId="289" totalsRowBorderDxfId="287">
  <autoFilter ref="B39:Q109" xr:uid="{1A96BD34-1F0B-42BF-AF17-6960E6AF6C24}"/>
  <tableColumns count="16">
    <tableColumn id="1" xr3:uid="{AD3965BB-091C-444E-A592-FCA7BBFCA2C3}" name="No." dataDxfId="286"/>
    <tableColumn id="4" xr3:uid="{20479FED-4138-4C85-91A8-9E155FAF654B}" name="사이트" dataDxfId="285"/>
    <tableColumn id="2" xr3:uid="{E522AD01-6C2C-45C3-8A90-B6DABDF85E58}" name="ID" dataDxfId="284"/>
    <tableColumn id="3" xr3:uid="{CD9E260A-BDC5-42A3-A1C3-F2698195F39E}" name="시나리오명" dataDxfId="283"/>
    <tableColumn id="17" xr3:uid="{26A13264-D736-4A4E-904D-08D48FAA618D}" name="SYS" dataDxfId="282"/>
    <tableColumn id="18" xr3:uid="{1DC3A709-3411-44E4-9837-84E3BD5D7BA4}" name="중요도" dataDxfId="281"/>
    <tableColumn id="15" xr3:uid="{32AC72F0-B722-4210-B129-FD00D50FAC7D}" name="테스트 항목" dataDxfId="280"/>
    <tableColumn id="19" xr3:uid="{34312FFD-05E4-461B-8859-FDF503BFC1F8}" name="수행 절차" dataDxfId="279"/>
    <tableColumn id="5" xr3:uid="{1E410420-8AE8-43E3-8C09-485919A5CE98}" name="입력값" dataDxfId="278"/>
    <tableColumn id="6" xr3:uid="{D894315E-5525-4E6D-B5B6-856E073D2B41}" name="기대 결과" dataDxfId="277"/>
    <tableColumn id="7" xr3:uid="{62EE7247-B07D-4BD5-9D54-3BA9F885A7D4}" name="수행일자" dataDxfId="276"/>
    <tableColumn id="8" xr3:uid="{B00CEC53-8BA0-4C51-9F77-0A074349D5C5}" name="수행자" dataDxfId="275"/>
    <tableColumn id="9" xr3:uid="{70F41129-A430-4CCD-A4EE-0AC73518E320}" name="테스트결과" dataDxfId="138" dataCellStyle="표준 2"/>
    <tableColumn id="16" xr3:uid="{46151ADC-4F15-42D2-94E5-0AB17A1C72C8}" name="결함사항" dataDxfId="274" dataCellStyle="표준 2"/>
    <tableColumn id="20" xr3:uid="{006306F0-991D-4D5D-B23D-21D220BB653D}" name="수정여부" dataDxfId="273" dataCellStyle="표준 2"/>
    <tableColumn id="14" xr3:uid="{CF6DC52A-6A49-4E6A-8E45-092AE9E7F0CD}" name="비고" dataDxfId="272" dataCellStyle="표준 2"/>
  </tableColumns>
  <tableStyleInfo name="표 스타일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67FE7B-96DF-4D84-BC41-9F18F655A55C}" name="TS_회원전환" displayName="TS_회원전환" ref="B39:Q119" totalsRowShown="0" headerRowDxfId="252" dataDxfId="295" headerRowBorderDxfId="269" tableBorderDxfId="270" totalsRowBorderDxfId="268">
  <autoFilter ref="B39:Q119" xr:uid="{1A96BD34-1F0B-42BF-AF17-6960E6AF6C24}"/>
  <tableColumns count="16">
    <tableColumn id="1" xr3:uid="{4023B44D-4941-4130-B929-2E0241718449}" name="No." dataDxfId="267"/>
    <tableColumn id="10" xr3:uid="{BC435A46-D6BB-4909-BEF4-E663404EB17D}" name="사이트" dataDxfId="266"/>
    <tableColumn id="11" xr3:uid="{08915539-7E51-4C60-BDE0-B8A9F3890E96}" name="ID" dataDxfId="265"/>
    <tableColumn id="3" xr3:uid="{52D1A0E9-8A12-4158-AF96-4B0EB8B43317}" name="시나리오명" dataDxfId="264"/>
    <tableColumn id="17" xr3:uid="{79378BA0-65EA-4017-8C5B-2E25C61F5B76}" name="SYS" dataDxfId="263"/>
    <tableColumn id="18" xr3:uid="{CA11A330-2209-404A-ADF8-FA540F47D1F4}" name="중요도" dataDxfId="262"/>
    <tableColumn id="15" xr3:uid="{FEAA45E0-520A-4437-BD25-A95AE6DE4416}" name="테스트 항목" dataDxfId="261"/>
    <tableColumn id="19" xr3:uid="{5782131E-22E8-4871-BFD9-A1F2D60D6424}" name="수행 절차" dataDxfId="260"/>
    <tableColumn id="5" xr3:uid="{BF0E845C-20A0-4404-A7A0-F3FB2CD1AF74}" name="입력값" dataDxfId="259"/>
    <tableColumn id="6" xr3:uid="{EED93AF6-ED9F-424F-B99F-3492101C33FB}" name="기대 결과" dataDxfId="258"/>
    <tableColumn id="7" xr3:uid="{CE0CB0F5-0B68-499F-8E76-E465D280C1B4}" name="수행일자" dataDxfId="257"/>
    <tableColumn id="8" xr3:uid="{0CE3D620-81A4-4DC4-9854-64793E6EFD38}" name="수행자" dataDxfId="256"/>
    <tableColumn id="9" xr3:uid="{E8D585C2-B51B-491D-A584-F93316B0028A}" name="테스트결과" dataDxfId="137" dataCellStyle="표준 2"/>
    <tableColumn id="16" xr3:uid="{BE83FEF3-7259-458F-82AA-8110C5DA88FD}" name="결함사항" dataDxfId="255" dataCellStyle="표준 2"/>
    <tableColumn id="20" xr3:uid="{BA76EE96-BAC9-4179-A880-E1E2C70AABAC}" name="수정여부" dataDxfId="254" dataCellStyle="표준 2"/>
    <tableColumn id="14" xr3:uid="{2A8F99C2-7A47-40E1-A434-64A98E44826E}" name="비고" dataDxfId="253" dataCellStyle="표준 2"/>
  </tableColumns>
  <tableStyleInfo name="표 스타일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D28F52-07F9-4840-8731-BB4FE51D45CA}" name="TS_로그인" displayName="TS_로그인" ref="B39:Q102" totalsRowShown="0" headerRowDxfId="235" dataDxfId="294" headerRowBorderDxfId="250" tableBorderDxfId="251" totalsRowBorderDxfId="249">
  <autoFilter ref="B39:Q102" xr:uid="{1A96BD34-1F0B-42BF-AF17-6960E6AF6C24}"/>
  <tableColumns count="16">
    <tableColumn id="1" xr3:uid="{26517017-4F0D-439A-9A53-0BD1876C421B}" name="No." dataDxfId="248"/>
    <tableColumn id="2" xr3:uid="{5A760F27-C35B-47B8-BE1A-5EAC68F400DC}" name="사이트" dataDxfId="247"/>
    <tableColumn id="4" xr3:uid="{13ED10E4-02C6-46BD-8A5F-CEC2850F52F8}" name="ID" dataDxfId="246"/>
    <tableColumn id="3" xr3:uid="{1896BD6A-601D-46D2-AF31-BEEBE798223C}" name="시나리오명" dataDxfId="245"/>
    <tableColumn id="17" xr3:uid="{05769844-E5F7-476C-8D20-65C581CF7695}" name="SYS" dataDxfId="244"/>
    <tableColumn id="18" xr3:uid="{A6C5F42F-E569-4CC5-B08C-8DFBB73C4CAD}" name="중요도" dataDxfId="243"/>
    <tableColumn id="15" xr3:uid="{34FDD881-B96A-4C03-8683-1332AF9131B9}" name="테스트 항목" dataDxfId="242"/>
    <tableColumn id="19" xr3:uid="{99ED0EFD-E8D3-446A-A342-FA9CD049B8E3}" name="수행 절차" dataDxfId="241"/>
    <tableColumn id="5" xr3:uid="{2E32D983-2F5F-4337-B259-09CE996ECC59}" name="입력값" dataDxfId="240"/>
    <tableColumn id="6" xr3:uid="{50B63809-D5BE-4126-A95D-CE2294F1B601}" name="기대 결과" dataDxfId="239"/>
    <tableColumn id="7" xr3:uid="{E6FE95EF-4E0F-4773-AF6D-67CB16375F68}" name="수행일자" dataDxfId="238"/>
    <tableColumn id="8" xr3:uid="{BF1C5283-6467-49E4-A975-C2BCD4526059}" name="수행자" dataDxfId="136"/>
    <tableColumn id="9" xr3:uid="{AC067924-EB31-4EC4-9DBA-F37594C55F39}" name="테스트결과" dataDxfId="134" dataCellStyle="표준 2"/>
    <tableColumn id="16" xr3:uid="{FF688290-87AC-4F9E-86A9-81000B365293}" name="결함사항" dataDxfId="135" dataCellStyle="표준 2"/>
    <tableColumn id="20" xr3:uid="{425E6D64-3523-4F66-9345-B6BA7A6B807C}" name="수정여부" dataDxfId="237" dataCellStyle="표준 2"/>
    <tableColumn id="14" xr3:uid="{71AF5940-CA34-4BC7-B8D7-FCDAC746B5D4}" name="비고" dataDxfId="236" dataCellStyle="표준 2"/>
  </tableColumns>
  <tableStyleInfo name="표 스타일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0E1CED-A5FB-4D3E-B883-FBEE09B877B2}" name="TS_ID찾기" displayName="TS_ID찾기" ref="B39:Q79" totalsRowShown="0" headerRowDxfId="216" dataDxfId="293" headerRowBorderDxfId="233" tableBorderDxfId="234" totalsRowBorderDxfId="232">
  <autoFilter ref="B39:Q79" xr:uid="{1A96BD34-1F0B-42BF-AF17-6960E6AF6C24}"/>
  <tableColumns count="16">
    <tableColumn id="1" xr3:uid="{08B0FD1B-2956-4AE2-89F9-C7E0212A8F67}" name="No." dataDxfId="231"/>
    <tableColumn id="2" xr3:uid="{004D074D-BBD9-4422-9F6B-78065B6A8D28}" name="사이트" dataDxfId="230"/>
    <tableColumn id="4" xr3:uid="{5374B146-0CBB-4D91-83B3-F7B3123E86D3}" name="ID" dataDxfId="229"/>
    <tableColumn id="3" xr3:uid="{55BE900D-6A08-4418-9F35-4070DDC367D8}" name="시나리오명" dataDxfId="228"/>
    <tableColumn id="17" xr3:uid="{39297EC7-7728-4768-B439-ED10E9F05117}" name="SYS" dataDxfId="227"/>
    <tableColumn id="18" xr3:uid="{14D9387F-6349-424A-9399-41E5B734B1DB}" name="중요도" dataDxfId="226"/>
    <tableColumn id="15" xr3:uid="{F4D56B15-BBEE-47A8-8256-4B7C1082E8D4}" name="테스트 항목" dataDxfId="225"/>
    <tableColumn id="19" xr3:uid="{DC033AEF-27C9-4240-89C9-BD23DD41B8EA}" name="수행 절차" dataDxfId="224"/>
    <tableColumn id="5" xr3:uid="{CBFFEB33-7B4B-4CB3-B46D-FAD3ADADE5F3}" name="입력값" dataDxfId="223"/>
    <tableColumn id="6" xr3:uid="{A9E8AAD4-0F49-4DC6-B26A-EE7E47FC8823}" name="기대 결과" dataDxfId="222"/>
    <tableColumn id="7" xr3:uid="{C525BBAA-38E7-4CA9-B919-9B475CD7C47A}" name="수행일자" dataDxfId="221"/>
    <tableColumn id="8" xr3:uid="{D48AE497-8F8A-49D9-9AE5-80DEE6CAABCB}" name="수행자" dataDxfId="220"/>
    <tableColumn id="9" xr3:uid="{4C598A94-B885-4874-A638-BC71802C8BAE}" name="테스트결과" dataDxfId="133" dataCellStyle="표준 2"/>
    <tableColumn id="16" xr3:uid="{D51E5FAF-C9B4-429F-91FD-64DC6C4D3C1C}" name="결함사항" dataDxfId="219" dataCellStyle="표준 2"/>
    <tableColumn id="20" xr3:uid="{B1539685-B82A-4665-9163-775B1AF09044}" name="수정여부" dataDxfId="218" dataCellStyle="표준 2"/>
    <tableColumn id="14" xr3:uid="{D4E241B7-8372-4BB0-8741-3DB826B97724}" name="비고" dataDxfId="217" dataCellStyle="표준 2"/>
  </tableColumns>
  <tableStyleInfo name="표 스타일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32C642-2392-4382-91DA-5AA31815487B}" name="TS_PW찾기" displayName="TS_PW찾기" ref="B39:Q87" totalsRowShown="0" headerRowDxfId="197" dataDxfId="292" headerRowBorderDxfId="214" tableBorderDxfId="215" totalsRowBorderDxfId="213">
  <autoFilter ref="B39:Q87" xr:uid="{1A96BD34-1F0B-42BF-AF17-6960E6AF6C24}"/>
  <tableColumns count="16">
    <tableColumn id="1" xr3:uid="{5745FCD9-E31F-43E3-A5BB-A5D5159718E5}" name="No." dataDxfId="212"/>
    <tableColumn id="2" xr3:uid="{B6B0BDF8-2263-4231-916F-0A051CE30132}" name="사이트" dataDxfId="211"/>
    <tableColumn id="4" xr3:uid="{6EF35CC6-6FCC-4C0E-A431-0CFC58D2EBD5}" name="ID" dataDxfId="210"/>
    <tableColumn id="3" xr3:uid="{4F9C7F91-72E5-46DA-8707-4F33C83E91E5}" name="시나리오명" dataDxfId="209"/>
    <tableColumn id="17" xr3:uid="{87CBBD11-EE4C-4E42-AA8D-6A51F101A0E4}" name="SYS" dataDxfId="208"/>
    <tableColumn id="18" xr3:uid="{17965810-8BBB-4E56-88E8-CB8D7AF43EEF}" name="중요도" dataDxfId="207"/>
    <tableColumn id="15" xr3:uid="{18ED17B3-C758-4BD4-8DF8-57B18524715E}" name="테스트 항목" dataDxfId="206"/>
    <tableColumn id="19" xr3:uid="{06297047-88D3-4A3A-BA73-2479F73A7C58}" name="수행 절차" dataDxfId="205"/>
    <tableColumn id="5" xr3:uid="{008056F7-3B57-4375-8E50-057EEF65109A}" name="입력값" dataDxfId="204"/>
    <tableColumn id="6" xr3:uid="{81EECE26-606B-440C-AFD5-70A442D6F6BC}" name="기대 결과" dataDxfId="203"/>
    <tableColumn id="7" xr3:uid="{C09C439B-0873-42AB-8377-A3E905825C65}" name="수행일자" dataDxfId="202"/>
    <tableColumn id="8" xr3:uid="{2F41FED2-79EE-438C-A277-6A883F744E0E}" name="수행자" dataDxfId="201"/>
    <tableColumn id="9" xr3:uid="{8B2F36DF-693D-4EE0-A9E6-34E33A0C0902}" name="테스트결과" dataDxfId="132" dataCellStyle="표준 2"/>
    <tableColumn id="16" xr3:uid="{17CCFCE1-854E-4617-A272-2F610364BE1A}" name="결함사항" dataDxfId="200" dataCellStyle="표준 2"/>
    <tableColumn id="20" xr3:uid="{575E0C7E-8287-47CF-A0F6-514AD9FB8EB9}" name="수정여부" dataDxfId="199" dataCellStyle="표준 2"/>
    <tableColumn id="14" xr3:uid="{12BBB39D-21AC-47FA-8A05-33AA604BBF8F}" name="비고" dataDxfId="198" dataCellStyle="표준 2"/>
  </tableColumns>
  <tableStyleInfo name="표 스타일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A61BCB-CD54-49EC-8E6D-89583A54D967}" name="TS_임직원인증" displayName="TS_임직원인증" ref="B39:Q67" totalsRowShown="0" headerRowDxfId="178" dataDxfId="291" headerRowBorderDxfId="195" tableBorderDxfId="196" totalsRowBorderDxfId="194">
  <autoFilter ref="B39:Q67" xr:uid="{1A96BD34-1F0B-42BF-AF17-6960E6AF6C24}"/>
  <tableColumns count="16">
    <tableColumn id="1" xr3:uid="{BBBC7804-597C-42A0-9980-4FA487F5D9C9}" name="No." dataDxfId="193"/>
    <tableColumn id="2" xr3:uid="{291FB71A-3C42-48A0-8E28-CEB8E1A16E02}" name="사이트" dataDxfId="192"/>
    <tableColumn id="4" xr3:uid="{CCB60DAE-72B7-48C4-8DF8-B8C55A36B9C4}" name="ID" dataDxfId="191"/>
    <tableColumn id="3" xr3:uid="{DE5E8EFB-BF7A-475B-8438-EEAC1EC0F326}" name="시나리오명" dataDxfId="190"/>
    <tableColumn id="17" xr3:uid="{E915E658-36AA-448F-B3F5-90A5450D61E4}" name="SYS" dataDxfId="189"/>
    <tableColumn id="18" xr3:uid="{19AD10BB-DC6A-4DD3-BBC4-C9C2777F018E}" name="중요도" dataDxfId="188"/>
    <tableColumn id="15" xr3:uid="{E01A37B2-0D0B-450A-9ADC-8820A301458A}" name="테스트 항목" dataDxfId="187"/>
    <tableColumn id="19" xr3:uid="{72F51C19-970F-4DA3-99E2-B6BD2776A3FD}" name="수행 절차" dataDxfId="186"/>
    <tableColumn id="5" xr3:uid="{3F36972E-5528-4AD1-88CE-A835E18E3472}" name="입력값" dataDxfId="185"/>
    <tableColumn id="6" xr3:uid="{B2ED96D2-0C17-409F-A865-C1AB59C38ACD}" name="기대 결과" dataDxfId="184"/>
    <tableColumn id="7" xr3:uid="{CF6CE353-D9C1-4220-966F-60D033637094}" name="수행일자" dataDxfId="183"/>
    <tableColumn id="8" xr3:uid="{3010D68B-26E4-4956-AEF8-C6439C37CB01}" name="수행자" dataDxfId="182"/>
    <tableColumn id="9" xr3:uid="{A20003A3-658E-4E78-AD8D-AD824982BCCC}" name="테스트결과" dataDxfId="131" dataCellStyle="표준 2"/>
    <tableColumn id="16" xr3:uid="{6C62A81A-CFAD-4F37-9AE5-FBA239CA6C0B}" name="결함사항" dataDxfId="181" dataCellStyle="표준 2"/>
    <tableColumn id="20" xr3:uid="{D2056D93-DF95-4AB4-A4F5-09E867ADFE0A}" name="수정여부" dataDxfId="180" dataCellStyle="표준 2"/>
    <tableColumn id="14" xr3:uid="{40249F14-8B01-4545-9412-3647E63BA26E}" name="비고" dataDxfId="179" dataCellStyle="표준 2"/>
  </tableColumns>
  <tableStyleInfo name="표 스타일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725D23-18CD-4D5F-84BF-6A119823FCB2}" name="TS_회원탈퇴" displayName="TS_회원탈퇴" ref="B39:Q102" totalsRowShown="0" headerRowDxfId="159" dataDxfId="290" headerRowBorderDxfId="176" tableBorderDxfId="177" totalsRowBorderDxfId="175">
  <autoFilter ref="B39:Q102" xr:uid="{1A96BD34-1F0B-42BF-AF17-6960E6AF6C24}"/>
  <tableColumns count="16">
    <tableColumn id="1" xr3:uid="{05E70AF9-AC0B-4886-B7A5-774207250BA2}" name="No." dataDxfId="174"/>
    <tableColumn id="2" xr3:uid="{0397E319-F5A7-47D3-98F9-73EF209A34ED}" name="사이트" dataDxfId="173"/>
    <tableColumn id="4" xr3:uid="{1817F361-3D56-42DD-BD08-4A3A64C4CFDA}" name="ID" dataDxfId="172"/>
    <tableColumn id="3" xr3:uid="{0F6CA3A4-B68F-41E9-A23C-4EA25D2F3CA4}" name="시나리오명" dataDxfId="171"/>
    <tableColumn id="17" xr3:uid="{3A4AB0AE-5172-4501-ABF3-796D9A158A15}" name="SYS" dataDxfId="170"/>
    <tableColumn id="18" xr3:uid="{3A083631-F2D4-481B-92B9-1CF1F9EF8C97}" name="중요도" dataDxfId="169"/>
    <tableColumn id="15" xr3:uid="{56CC8CC0-61C3-4B64-B985-5DEBD75ADDED}" name="테스트 항목" dataDxfId="168"/>
    <tableColumn id="19" xr3:uid="{98985DAF-79D3-4073-B798-634690B3938E}" name="수행 절차" dataDxfId="167"/>
    <tableColumn id="5" xr3:uid="{8CC2794B-76B8-422E-8272-E6D5D16DF9BA}" name="입력값" dataDxfId="166"/>
    <tableColumn id="6" xr3:uid="{C179075F-A180-4481-9521-1EFF7A85C3A0}" name="기대 결과" dataDxfId="165"/>
    <tableColumn id="7" xr3:uid="{285CD7A7-C5A0-464D-900C-9333FDD8C09F}" name="수행일자" dataDxfId="164"/>
    <tableColumn id="8" xr3:uid="{FBCC953D-C966-4137-9E3B-C08F8637BA44}" name="수행자" dataDxfId="163"/>
    <tableColumn id="9" xr3:uid="{672EFC5A-6C1B-4177-BFF3-031B3B5CA4D6}" name="테스트결과" dataDxfId="130" dataCellStyle="표준 2"/>
    <tableColumn id="16" xr3:uid="{E1E1EA4A-8DDC-407C-8557-562FA25F1914}" name="결함사항" dataDxfId="162" dataCellStyle="표준 2"/>
    <tableColumn id="20" xr3:uid="{BA239D03-BE36-4BF2-BBFE-B350DD055A53}" name="수정여부" dataDxfId="161" dataCellStyle="표준 2"/>
    <tableColumn id="14" xr3:uid="{2F401E01-ED0E-43FC-894A-6CD93F5FBB2A}" name="비고" dataDxfId="160" dataCellStyle="표준 2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zoomScaleNormal="100" zoomScaleSheetLayoutView="86" workbookViewId="0">
      <selection activeCell="L23" sqref="L23"/>
    </sheetView>
  </sheetViews>
  <sheetFormatPr defaultColWidth="8.88671875" defaultRowHeight="13.5"/>
  <cols>
    <col min="1" max="10" width="8.88671875" style="16"/>
    <col min="11" max="16384" width="8.88671875" style="14"/>
  </cols>
  <sheetData>
    <row r="1" spans="1:10" s="13" customFormat="1" ht="12" customHeight="1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s="13" customFormat="1" ht="12" customHeight="1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s="13" customFormat="1" ht="12" customHeight="1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s="13" customFormat="1" ht="12" customHeight="1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s="13" customFormat="1" ht="12" customHeight="1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s="13" customFormat="1" ht="12" customHeight="1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ht="13.7" customHeight="1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13.7" customHeight="1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13.7" customHeight="1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13.7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13.7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3.7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13.7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3.7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13.7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13.7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13.7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13.7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13.7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3.7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3.7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13.7" customHeight="1">
      <c r="A22" s="12"/>
      <c r="B22" s="12"/>
      <c r="C22" s="12"/>
      <c r="D22" s="12"/>
      <c r="E22" s="12"/>
      <c r="F22" s="15"/>
      <c r="G22" s="15"/>
      <c r="H22" s="12"/>
      <c r="I22" s="12"/>
      <c r="J22" s="12"/>
    </row>
    <row r="23" spans="1:10" ht="13.7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13.7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17.25" customHeight="1">
      <c r="A25" s="12"/>
      <c r="B25" s="64" t="s">
        <v>9</v>
      </c>
      <c r="C25" s="65"/>
      <c r="D25" s="66" t="s">
        <v>8</v>
      </c>
      <c r="E25" s="67"/>
      <c r="F25" s="67"/>
      <c r="G25" s="67"/>
      <c r="H25" s="67"/>
      <c r="I25" s="68"/>
      <c r="J25" s="12"/>
    </row>
    <row r="26" spans="1:10" ht="17.25" customHeight="1">
      <c r="A26" s="12"/>
      <c r="B26" s="64" t="s">
        <v>10</v>
      </c>
      <c r="C26" s="65"/>
      <c r="D26" s="64" t="s">
        <v>194</v>
      </c>
      <c r="E26" s="65"/>
      <c r="F26" s="64" t="s">
        <v>11</v>
      </c>
      <c r="G26" s="65"/>
      <c r="H26" s="62">
        <v>43627</v>
      </c>
      <c r="I26" s="63"/>
      <c r="J26" s="12"/>
    </row>
    <row r="27" spans="1:10" ht="17.25" customHeight="1">
      <c r="A27" s="12"/>
      <c r="B27" s="64" t="s">
        <v>12</v>
      </c>
      <c r="C27" s="65"/>
      <c r="D27" s="64"/>
      <c r="E27" s="65"/>
      <c r="F27" s="64" t="s">
        <v>13</v>
      </c>
      <c r="G27" s="65"/>
      <c r="H27" s="62"/>
      <c r="I27" s="63"/>
      <c r="J27" s="12"/>
    </row>
    <row r="28" spans="1:10" ht="13.7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13.7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13.7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</row>
  </sheetData>
  <customSheetViews>
    <customSheetView guid="{9E41C106-8555-4D00-9C60-0A4D2648D9CB}" scale="86" showPageBreaks="1" view="pageBreakPreview" topLeftCell="A28">
      <selection activeCell="H63" sqref="H63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1"/>
      <headerFooter alignWithMargins="0"/>
    </customSheetView>
    <customSheetView guid="{6B4CEAB6-6476-40EF-9561-4F8D85AFD37C}" scale="86" showPageBreaks="1" view="pageBreakPreview" topLeftCell="A34">
      <selection activeCell="M34" sqref="M34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2"/>
      <headerFooter alignWithMargins="0"/>
    </customSheetView>
  </customSheetViews>
  <mergeCells count="10">
    <mergeCell ref="H26:I26"/>
    <mergeCell ref="D27:E27"/>
    <mergeCell ref="H27:I27"/>
    <mergeCell ref="D25:I25"/>
    <mergeCell ref="B25:C25"/>
    <mergeCell ref="B26:C26"/>
    <mergeCell ref="B27:C27"/>
    <mergeCell ref="F26:G26"/>
    <mergeCell ref="F27:G27"/>
    <mergeCell ref="D26:E26"/>
  </mergeCells>
  <phoneticPr fontId="3" type="noConversion"/>
  <printOptions horizontalCentered="1" verticalCentered="1"/>
  <pageMargins left="0.39370078740157483" right="0.39370078740157483" top="0.59055118110236227" bottom="0.78740157480314965" header="0.39370078740157483" footer="0.39370078740157483"/>
  <pageSetup paperSize="9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28"/>
  <sheetViews>
    <sheetView zoomScaleNormal="100" workbookViewId="0">
      <selection activeCell="M18" sqref="M18"/>
    </sheetView>
  </sheetViews>
  <sheetFormatPr defaultRowHeight="13.5"/>
  <cols>
    <col min="1" max="1" width="2.77734375" customWidth="1"/>
    <col min="2" max="3" width="12.77734375" customWidth="1"/>
    <col min="4" max="6" width="18.77734375" customWidth="1"/>
    <col min="7" max="7" width="21.6640625" customWidth="1"/>
    <col min="8" max="8" width="12.77734375" customWidth="1"/>
  </cols>
  <sheetData>
    <row r="1" spans="2:8" ht="26.25" customHeight="1"/>
    <row r="2" spans="2:8" ht="13.7" customHeight="1"/>
    <row r="3" spans="2:8" ht="14.25" customHeight="1"/>
    <row r="6" spans="2:8" ht="20.25" customHeight="1">
      <c r="B6" s="71" t="s">
        <v>0</v>
      </c>
      <c r="C6" s="71"/>
      <c r="D6" s="71"/>
      <c r="E6" s="71"/>
      <c r="F6" s="71"/>
      <c r="G6" s="71"/>
      <c r="H6" s="71"/>
    </row>
    <row r="7" spans="2:8" ht="16.5" customHeight="1">
      <c r="B7" s="71"/>
      <c r="C7" s="71"/>
      <c r="D7" s="71"/>
      <c r="E7" s="71"/>
      <c r="F7" s="71"/>
      <c r="G7" s="71"/>
      <c r="H7" s="71"/>
    </row>
    <row r="8" spans="2:8">
      <c r="B8" s="17" t="s">
        <v>4</v>
      </c>
      <c r="C8" s="18" t="s">
        <v>5</v>
      </c>
      <c r="D8" s="70" t="s">
        <v>6</v>
      </c>
      <c r="E8" s="70"/>
      <c r="F8" s="70"/>
      <c r="G8" s="70"/>
      <c r="H8" s="18" t="s">
        <v>7</v>
      </c>
    </row>
    <row r="9" spans="2:8">
      <c r="B9" s="19">
        <v>0.1</v>
      </c>
      <c r="C9" s="21">
        <v>43604</v>
      </c>
      <c r="D9" s="69" t="s">
        <v>15</v>
      </c>
      <c r="E9" s="69"/>
      <c r="F9" s="69"/>
      <c r="G9" s="69"/>
      <c r="H9" s="22" t="s">
        <v>195</v>
      </c>
    </row>
    <row r="10" spans="2:8">
      <c r="B10" s="19">
        <v>0.2</v>
      </c>
      <c r="C10" s="21">
        <v>43627</v>
      </c>
      <c r="D10" s="69" t="s">
        <v>793</v>
      </c>
      <c r="E10" s="69"/>
      <c r="F10" s="69"/>
      <c r="G10" s="69"/>
      <c r="H10" s="22" t="s">
        <v>794</v>
      </c>
    </row>
    <row r="11" spans="2:8">
      <c r="B11" s="19"/>
      <c r="C11" s="21"/>
      <c r="D11" s="69"/>
      <c r="E11" s="69"/>
      <c r="F11" s="69"/>
      <c r="G11" s="69"/>
      <c r="H11" s="22"/>
    </row>
    <row r="12" spans="2:8" ht="13.7" customHeight="1">
      <c r="B12" s="19"/>
      <c r="C12" s="4"/>
      <c r="D12" s="69"/>
      <c r="E12" s="69"/>
      <c r="F12" s="69"/>
      <c r="G12" s="69"/>
      <c r="H12" s="10"/>
    </row>
    <row r="13" spans="2:8" ht="14.25" customHeight="1">
      <c r="B13" s="19"/>
      <c r="C13" s="4"/>
      <c r="D13" s="69"/>
      <c r="E13" s="69"/>
      <c r="F13" s="69"/>
      <c r="G13" s="69"/>
      <c r="H13" s="10"/>
    </row>
    <row r="14" spans="2:8">
      <c r="B14" s="19"/>
      <c r="C14" s="4"/>
      <c r="D14" s="69"/>
      <c r="E14" s="69"/>
      <c r="F14" s="69"/>
      <c r="G14" s="69"/>
      <c r="H14" s="10"/>
    </row>
    <row r="15" spans="2:8">
      <c r="B15" s="19"/>
      <c r="C15" s="4"/>
      <c r="D15" s="69"/>
      <c r="E15" s="69"/>
      <c r="F15" s="69"/>
      <c r="G15" s="69"/>
      <c r="H15" s="10"/>
    </row>
    <row r="16" spans="2:8">
      <c r="B16" s="19"/>
      <c r="C16" s="5"/>
      <c r="D16" s="69"/>
      <c r="E16" s="69"/>
      <c r="F16" s="69"/>
      <c r="G16" s="69"/>
      <c r="H16" s="10"/>
    </row>
    <row r="17" spans="2:8">
      <c r="B17" s="19"/>
      <c r="C17" s="5"/>
      <c r="D17" s="69"/>
      <c r="E17" s="69"/>
      <c r="F17" s="69"/>
      <c r="G17" s="69"/>
      <c r="H17" s="10"/>
    </row>
    <row r="18" spans="2:8">
      <c r="B18" s="19"/>
      <c r="C18" s="5"/>
      <c r="D18" s="69"/>
      <c r="E18" s="69"/>
      <c r="F18" s="69"/>
      <c r="G18" s="69"/>
      <c r="H18" s="10"/>
    </row>
    <row r="19" spans="2:8">
      <c r="B19" s="19"/>
      <c r="C19" s="5"/>
      <c r="D19" s="69"/>
      <c r="E19" s="69"/>
      <c r="F19" s="69"/>
      <c r="G19" s="69"/>
      <c r="H19" s="10"/>
    </row>
    <row r="20" spans="2:8">
      <c r="B20" s="19"/>
      <c r="C20" s="5"/>
      <c r="D20" s="69"/>
      <c r="E20" s="69"/>
      <c r="F20" s="69"/>
      <c r="G20" s="69"/>
      <c r="H20" s="10"/>
    </row>
    <row r="21" spans="2:8">
      <c r="B21" s="20"/>
      <c r="C21" s="8"/>
      <c r="D21" s="69"/>
      <c r="E21" s="69"/>
      <c r="F21" s="69"/>
      <c r="G21" s="69"/>
      <c r="H21" s="9"/>
    </row>
    <row r="22" spans="2:8">
      <c r="B22" s="20"/>
      <c r="C22" s="8"/>
      <c r="D22" s="69"/>
      <c r="E22" s="69"/>
      <c r="F22" s="69"/>
      <c r="G22" s="69"/>
      <c r="H22" s="11"/>
    </row>
    <row r="23" spans="2:8">
      <c r="B23" s="19"/>
      <c r="C23" s="5"/>
      <c r="D23" s="69"/>
      <c r="E23" s="69"/>
      <c r="F23" s="69"/>
      <c r="G23" s="69"/>
      <c r="H23" s="10"/>
    </row>
    <row r="24" spans="2:8">
      <c r="B24" s="19"/>
      <c r="C24" s="5"/>
      <c r="D24" s="69"/>
      <c r="E24" s="69"/>
      <c r="F24" s="69"/>
      <c r="G24" s="69"/>
      <c r="H24" s="10"/>
    </row>
    <row r="25" spans="2:8">
      <c r="B25" s="19"/>
      <c r="C25" s="5"/>
      <c r="D25" s="69"/>
      <c r="E25" s="69"/>
      <c r="F25" s="69"/>
      <c r="G25" s="69"/>
      <c r="H25" s="10"/>
    </row>
    <row r="26" spans="2:8">
      <c r="B26" s="19"/>
      <c r="C26" s="5"/>
      <c r="D26" s="69"/>
      <c r="E26" s="69"/>
      <c r="F26" s="69"/>
      <c r="G26" s="69"/>
      <c r="H26" s="10"/>
    </row>
    <row r="27" spans="2:8">
      <c r="B27" s="19"/>
      <c r="C27" s="5"/>
      <c r="D27" s="69"/>
      <c r="E27" s="69"/>
      <c r="F27" s="69"/>
      <c r="G27" s="69"/>
      <c r="H27" s="10"/>
    </row>
    <row r="28" spans="2:8">
      <c r="B28" s="19"/>
      <c r="C28" s="5"/>
      <c r="D28" s="69"/>
      <c r="E28" s="69"/>
      <c r="F28" s="69"/>
      <c r="G28" s="69"/>
      <c r="H28" s="10"/>
    </row>
  </sheetData>
  <mergeCells count="22">
    <mergeCell ref="B6:H7"/>
    <mergeCell ref="D10:G10"/>
    <mergeCell ref="D11:G11"/>
    <mergeCell ref="D12:G12"/>
    <mergeCell ref="D21:G21"/>
    <mergeCell ref="D14:G14"/>
    <mergeCell ref="D15:G15"/>
    <mergeCell ref="D16:G16"/>
    <mergeCell ref="D13:G13"/>
    <mergeCell ref="D26:G26"/>
    <mergeCell ref="D27:G27"/>
    <mergeCell ref="D28:G28"/>
    <mergeCell ref="D8:G8"/>
    <mergeCell ref="D9:G9"/>
    <mergeCell ref="D22:G22"/>
    <mergeCell ref="D23:G23"/>
    <mergeCell ref="D24:G24"/>
    <mergeCell ref="D19:G19"/>
    <mergeCell ref="D20:G20"/>
    <mergeCell ref="D17:G17"/>
    <mergeCell ref="D18:G18"/>
    <mergeCell ref="D25:G2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"/>
  <sheetViews>
    <sheetView workbookViewId="0">
      <selection activeCell="B29" sqref="B29"/>
    </sheetView>
  </sheetViews>
  <sheetFormatPr defaultRowHeight="13.5"/>
  <cols>
    <col min="1" max="1" width="18.21875" customWidth="1"/>
    <col min="2" max="2" width="12.6640625" customWidth="1"/>
    <col min="3" max="4" width="18.21875" customWidth="1"/>
    <col min="5" max="5" width="12.6640625" customWidth="1"/>
    <col min="6" max="7" width="18.21875" customWidth="1"/>
  </cols>
  <sheetData>
    <row r="1" spans="1:7" s="1" customFormat="1" ht="27" customHeight="1">
      <c r="A1" s="72" t="s">
        <v>17</v>
      </c>
      <c r="B1" s="73"/>
      <c r="C1" s="73"/>
      <c r="D1" s="73"/>
      <c r="E1" s="73"/>
      <c r="F1" s="73"/>
      <c r="G1" s="74"/>
    </row>
    <row r="2" spans="1:7" s="1" customFormat="1" ht="16.5" customHeight="1">
      <c r="A2" s="75"/>
      <c r="B2" s="6" t="s">
        <v>1</v>
      </c>
      <c r="C2" s="77" t="s">
        <v>8</v>
      </c>
      <c r="D2" s="78"/>
      <c r="E2" s="6" t="s">
        <v>2</v>
      </c>
      <c r="F2" s="77" t="s">
        <v>16</v>
      </c>
      <c r="G2" s="79"/>
    </row>
    <row r="3" spans="1:7" s="1" customFormat="1" ht="17.25" thickBot="1">
      <c r="A3" s="76"/>
      <c r="B3" s="7" t="s">
        <v>3</v>
      </c>
      <c r="C3" s="80" t="s">
        <v>194</v>
      </c>
      <c r="D3" s="81"/>
      <c r="E3" s="7" t="s">
        <v>14</v>
      </c>
      <c r="F3" s="82">
        <v>43627</v>
      </c>
      <c r="G3" s="83"/>
    </row>
  </sheetData>
  <mergeCells count="6">
    <mergeCell ref="A1:G1"/>
    <mergeCell ref="A2:A3"/>
    <mergeCell ref="C2:D2"/>
    <mergeCell ref="F2:G2"/>
    <mergeCell ref="C3:D3"/>
    <mergeCell ref="F3:G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7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14BB-E22C-4EA3-9505-4AD62C66EF97}">
  <sheetPr>
    <pageSetUpPr fitToPage="1"/>
  </sheetPr>
  <dimension ref="A1:N87"/>
  <sheetViews>
    <sheetView topLeftCell="A27" zoomScaleNormal="100" workbookViewId="0">
      <selection activeCell="Q44" sqref="P44:Q44"/>
    </sheetView>
  </sheetViews>
  <sheetFormatPr defaultRowHeight="12" outlineLevelRow="1"/>
  <cols>
    <col min="1" max="1" width="2.77734375" style="25" customWidth="1"/>
    <col min="2" max="3" width="9.77734375" style="26" customWidth="1"/>
    <col min="4" max="13" width="9.77734375" style="25" customWidth="1"/>
    <col min="14" max="16384" width="8.88671875" style="25"/>
  </cols>
  <sheetData>
    <row r="1" spans="1:14" ht="66" customHeight="1">
      <c r="B1" s="23"/>
      <c r="C1" s="23"/>
      <c r="D1" s="24"/>
      <c r="E1" s="24"/>
    </row>
    <row r="2" spans="1:14">
      <c r="B2" s="2"/>
      <c r="C2" s="2"/>
      <c r="D2" s="24"/>
      <c r="E2" s="24"/>
    </row>
    <row r="3" spans="1:14" s="32" customFormat="1" ht="13.5" outlineLevel="1">
      <c r="A3" s="35"/>
      <c r="B3" s="84" t="s">
        <v>795</v>
      </c>
      <c r="C3" s="84"/>
      <c r="D3" s="53"/>
      <c r="E3" s="50"/>
    </row>
    <row r="4" spans="1:14" ht="9.9499999999999993" customHeight="1" outlineLevel="1">
      <c r="B4" s="54"/>
      <c r="C4" s="54"/>
      <c r="D4" s="50"/>
      <c r="E4" s="50"/>
      <c r="F4" s="32"/>
      <c r="G4" s="32"/>
      <c r="H4" s="32"/>
      <c r="I4" s="32"/>
      <c r="J4" s="32"/>
      <c r="K4" s="32"/>
      <c r="L4" s="32"/>
      <c r="M4" s="32"/>
    </row>
    <row r="5" spans="1:14" outlineLevel="1">
      <c r="A5" s="28"/>
      <c r="B5" s="146" t="s">
        <v>25</v>
      </c>
      <c r="C5" s="146" t="s">
        <v>20</v>
      </c>
      <c r="D5" s="146" t="s">
        <v>21</v>
      </c>
      <c r="E5" s="146" t="s">
        <v>22</v>
      </c>
      <c r="F5" s="146" t="s">
        <v>24</v>
      </c>
      <c r="G5" s="146" t="s">
        <v>23</v>
      </c>
      <c r="H5" s="146" t="s">
        <v>42</v>
      </c>
      <c r="I5" s="146" t="s">
        <v>43</v>
      </c>
      <c r="J5" s="146" t="s">
        <v>44</v>
      </c>
      <c r="K5" s="146" t="s">
        <v>45</v>
      </c>
      <c r="L5" s="146" t="s">
        <v>46</v>
      </c>
      <c r="M5" s="146" t="s">
        <v>47</v>
      </c>
      <c r="N5" s="29"/>
    </row>
    <row r="6" spans="1:14" ht="13.5" outlineLevel="1">
      <c r="A6" s="28"/>
      <c r="B6" s="147" t="s">
        <v>59</v>
      </c>
      <c r="C6" s="148">
        <f>COUNTIF(TS_회원가입[SYS],표1_1[[#This Row],[SYS]])</f>
        <v>32</v>
      </c>
      <c r="D6" s="148">
        <f>COUNTIFS('1_회원가입'!$F:$F,표1_1[[#This Row],[SYS]],'1_회원가입'!$N:$N,표1_1[[#Headers],[Pass]])</f>
        <v>0</v>
      </c>
      <c r="E6" s="148">
        <f>COUNTIFS('1_회원가입'!$F:$F,표1_1[[#This Row],[SYS]],'1_회원가입'!$N:$N,표1_1[[#Headers],[Fail]])</f>
        <v>0</v>
      </c>
      <c r="F6" s="148">
        <f>COUNTIFS('1_회원가입'!$F:$F,표1_1[[#This Row],[SYS]],'1_회원가입'!$N:$N,표1_1[[#Headers],[Block]])</f>
        <v>0</v>
      </c>
      <c r="G6" s="148">
        <f>COUNTIFS('1_회원가입'!$F:$F,표1_1[[#This Row],[SYS]],'1_회원가입'!$N:$N,표1_1[[#Headers],[N/A]])</f>
        <v>0</v>
      </c>
      <c r="H6" s="3">
        <f>SUM(표1_1[[#This Row],[Pass]:[N/A]])</f>
        <v>0</v>
      </c>
      <c r="I6" s="149">
        <f>IFERROR(표1_1[[#This Row],[Total]]/표1_1[[#This Row],[시나리오 수]],0)</f>
        <v>0</v>
      </c>
      <c r="J6" s="149">
        <f>IFERROR(SUM(표1_1[[#This Row],[Pass]:[Fail]])/(표1_1[[#This Row],[시나리오 수]]-표1_1[[#This Row],[N/A]]),0)</f>
        <v>0</v>
      </c>
      <c r="K6" s="149">
        <f>IFERROR(표1_1[[#This Row],[Pass]]/SUM(표1_1[[#This Row],[Pass]:[Fail]]),0)</f>
        <v>0</v>
      </c>
      <c r="L6" s="149">
        <f>IFERROR((표1_1[[#This Row],[Fail]]/SUM(표1_1[[#This Row],[Pass]:[Fail]])),0)</f>
        <v>0</v>
      </c>
      <c r="M6" s="149">
        <f>IFERROR((표1_1[[#This Row],[Block]]/표1_1[[#This Row],[시나리오 수]]),0)</f>
        <v>0</v>
      </c>
      <c r="N6" s="29"/>
    </row>
    <row r="7" spans="1:14" ht="13.5" outlineLevel="1">
      <c r="A7" s="28"/>
      <c r="B7" s="147" t="s">
        <v>48</v>
      </c>
      <c r="C7" s="148">
        <f>COUNTIF(TS_회원가입[SYS],표1_1[[#This Row],[SYS]])</f>
        <v>32</v>
      </c>
      <c r="D7" s="148">
        <f>COUNTIFS('1_회원가입'!$F:$F,표1_1[[#This Row],[SYS]],'1_회원가입'!$N:$N,표1_1[[#Headers],[Pass]])</f>
        <v>0</v>
      </c>
      <c r="E7" s="148">
        <f>COUNTIFS('1_회원가입'!$F:$F,표1_1[[#This Row],[SYS]],'1_회원가입'!$N:$N,표1_1[[#Headers],[Fail]])</f>
        <v>0</v>
      </c>
      <c r="F7" s="148">
        <f>COUNTIFS('1_회원가입'!$F:$F,표1_1[[#This Row],[SYS]],'1_회원가입'!$N:$N,표1_1[[#Headers],[Block]])</f>
        <v>0</v>
      </c>
      <c r="G7" s="148">
        <f>COUNTIFS('1_회원가입'!$F:$F,표1_1[[#This Row],[SYS]],'1_회원가입'!$N:$N,표1_1[[#Headers],[N/A]])</f>
        <v>0</v>
      </c>
      <c r="H7" s="3">
        <f>SUM(표1_1[[#This Row],[Pass]:[N/A]])</f>
        <v>0</v>
      </c>
      <c r="I7" s="149">
        <f>IFERROR(표1_1[[#This Row],[Total]]/표1_1[[#This Row],[시나리오 수]],0)</f>
        <v>0</v>
      </c>
      <c r="J7" s="149">
        <f>IFERROR(SUM(표1_1[[#This Row],[Pass]:[Fail]])/(표1_1[[#This Row],[시나리오 수]]-표1_1[[#This Row],[N/A]]),0)</f>
        <v>0</v>
      </c>
      <c r="K7" s="149">
        <f>IFERROR(표1_1[[#This Row],[Pass]]/SUM(표1_1[[#This Row],[Pass]:[Fail]]),0)</f>
        <v>0</v>
      </c>
      <c r="L7" s="149">
        <f>IFERROR((표1_1[[#This Row],[Fail]]/SUM(표1_1[[#This Row],[Pass]:[Fail]])),0)</f>
        <v>0</v>
      </c>
      <c r="M7" s="149">
        <f>IFERROR((표1_1[[#This Row],[Block]]/표1_1[[#This Row],[시나리오 수]]),0)</f>
        <v>0</v>
      </c>
      <c r="N7" s="29"/>
    </row>
    <row r="8" spans="1:14" ht="13.5" outlineLevel="1">
      <c r="A8" s="28"/>
      <c r="B8" s="147" t="s">
        <v>49</v>
      </c>
      <c r="C8" s="148">
        <f>COUNTIF(TS_회원가입[SYS],표1_1[[#This Row],[SYS]])</f>
        <v>6</v>
      </c>
      <c r="D8" s="148">
        <f>COUNTIFS('1_회원가입'!$F:$F,표1_1[[#This Row],[SYS]],'1_회원가입'!$N:$N,표1_1[[#Headers],[Pass]])</f>
        <v>0</v>
      </c>
      <c r="E8" s="148">
        <f>COUNTIFS('1_회원가입'!$F:$F,표1_1[[#This Row],[SYS]],'1_회원가입'!$N:$N,표1_1[[#Headers],[Fail]])</f>
        <v>0</v>
      </c>
      <c r="F8" s="148">
        <f>COUNTIFS('1_회원가입'!$F:$F,표1_1[[#This Row],[SYS]],'1_회원가입'!$N:$N,표1_1[[#Headers],[Block]])</f>
        <v>0</v>
      </c>
      <c r="G8" s="148">
        <f>COUNTIFS('1_회원가입'!$F:$F,표1_1[[#This Row],[SYS]],'1_회원가입'!$N:$N,표1_1[[#Headers],[N/A]])</f>
        <v>0</v>
      </c>
      <c r="H8" s="3">
        <f>SUM(표1_1[[#This Row],[Pass]:[N/A]])</f>
        <v>0</v>
      </c>
      <c r="I8" s="149">
        <f>IFERROR(표1_1[[#This Row],[Total]]/표1_1[[#This Row],[시나리오 수]],0)</f>
        <v>0</v>
      </c>
      <c r="J8" s="149">
        <f>IFERROR(SUM(표1_1[[#This Row],[Pass]:[Fail]])/(표1_1[[#This Row],[시나리오 수]]-표1_1[[#This Row],[N/A]]),0)</f>
        <v>0</v>
      </c>
      <c r="K8" s="149">
        <f>IFERROR(표1_1[[#This Row],[Pass]]/SUM(표1_1[[#This Row],[Pass]:[Fail]]),0)</f>
        <v>0</v>
      </c>
      <c r="L8" s="149">
        <f>IFERROR((표1_1[[#This Row],[Fail]]/SUM(표1_1[[#This Row],[Pass]:[Fail]])),0)</f>
        <v>0</v>
      </c>
      <c r="M8" s="149">
        <f>IFERROR((표1_1[[#This Row],[Block]]/표1_1[[#This Row],[시나리오 수]]),0)</f>
        <v>0</v>
      </c>
      <c r="N8" s="29"/>
    </row>
    <row r="9" spans="1:14" ht="13.5" outlineLevel="1">
      <c r="A9" s="28"/>
      <c r="B9" s="147" t="s">
        <v>50</v>
      </c>
      <c r="C9" s="148">
        <f>COUNTIF(TS_회원가입[SYS],표1_1[[#This Row],[SYS]])</f>
        <v>0</v>
      </c>
      <c r="D9" s="148">
        <f>COUNTIFS('1_회원가입'!$F:$F,표1_1[[#This Row],[SYS]],'1_회원가입'!$N:$N,표1_1[[#Headers],[Pass]])</f>
        <v>0</v>
      </c>
      <c r="E9" s="148">
        <f>COUNTIFS('1_회원가입'!$F:$F,표1_1[[#This Row],[SYS]],'1_회원가입'!$N:$N,표1_1[[#Headers],[Fail]])</f>
        <v>0</v>
      </c>
      <c r="F9" s="148">
        <f>COUNTIFS('1_회원가입'!$F:$F,표1_1[[#This Row],[SYS]],'1_회원가입'!$N:$N,표1_1[[#Headers],[Block]])</f>
        <v>0</v>
      </c>
      <c r="G9" s="148">
        <f>COUNTIFS('1_회원가입'!$F:$F,표1_1[[#This Row],[SYS]],'1_회원가입'!$N:$N,표1_1[[#Headers],[N/A]])</f>
        <v>0</v>
      </c>
      <c r="H9" s="3">
        <f>SUM(표1_1[[#This Row],[Pass]:[N/A]])</f>
        <v>0</v>
      </c>
      <c r="I9" s="149">
        <f>IFERROR(표1_1[[#This Row],[Total]]/표1_1[[#This Row],[시나리오 수]],0)</f>
        <v>0</v>
      </c>
      <c r="J9" s="149">
        <f>IFERROR(SUM(표1_1[[#This Row],[Pass]:[Fail]])/(표1_1[[#This Row],[시나리오 수]]-표1_1[[#This Row],[N/A]]),0)</f>
        <v>0</v>
      </c>
      <c r="K9" s="149">
        <f>IFERROR(표1_1[[#This Row],[Pass]]/SUM(표1_1[[#This Row],[Pass]:[Fail]]),0)</f>
        <v>0</v>
      </c>
      <c r="L9" s="149">
        <f>IFERROR((표1_1[[#This Row],[Fail]]/SUM(표1_1[[#This Row],[Pass]:[Fail]])),0)</f>
        <v>0</v>
      </c>
      <c r="M9" s="149">
        <f>IFERROR((표1_1[[#This Row],[Block]]/표1_1[[#This Row],[시나리오 수]]),0)</f>
        <v>0</v>
      </c>
      <c r="N9" s="29"/>
    </row>
    <row r="10" spans="1:14" ht="13.5" outlineLevel="1">
      <c r="A10" s="28"/>
      <c r="B10" s="150" t="s">
        <v>42</v>
      </c>
      <c r="C10" s="151">
        <f t="shared" ref="C10" si="0">SUM(C6:C9)</f>
        <v>70</v>
      </c>
      <c r="D10" s="152">
        <f t="shared" ref="D10:H10" si="1">SUM(D6:D9)</f>
        <v>0</v>
      </c>
      <c r="E10" s="152">
        <f t="shared" si="1"/>
        <v>0</v>
      </c>
      <c r="F10" s="152">
        <f t="shared" si="1"/>
        <v>0</v>
      </c>
      <c r="G10" s="152">
        <f t="shared" si="1"/>
        <v>0</v>
      </c>
      <c r="H10" s="152">
        <f t="shared" si="1"/>
        <v>0</v>
      </c>
      <c r="I10" s="153">
        <f>IFERROR(표1_1[[#This Row],[Total]]/표1_1[[#This Row],[시나리오 수]],0)</f>
        <v>0</v>
      </c>
      <c r="J10" s="153">
        <f>IFERROR(SUM(표1_1[[#This Row],[Pass]:[Fail]])/(표1_1[[#This Row],[시나리오 수]]-표1_1[[#This Row],[N/A]]),0)</f>
        <v>0</v>
      </c>
      <c r="K10" s="153">
        <f>IFERROR(표1_1[[#This Row],[Pass]]/SUM(표1_1[[#This Row],[Pass]:[Fail]]),0)</f>
        <v>0</v>
      </c>
      <c r="L10" s="153">
        <f>IFERROR((표1_1[[#This Row],[Fail]]/SUM(표1_1[[#This Row],[Pass]:[Fail]])),0)</f>
        <v>0</v>
      </c>
      <c r="M10" s="153">
        <f>IFERROR((표1_1[[#This Row],[Block]]/표1_1[[#This Row],[시나리오 수]]),0)</f>
        <v>0</v>
      </c>
      <c r="N10" s="29"/>
    </row>
    <row r="11" spans="1:14" ht="13.5" outlineLevel="1">
      <c r="B11" s="154"/>
      <c r="C11" s="155"/>
      <c r="D11" s="155"/>
      <c r="E11" s="155"/>
      <c r="F11" s="155"/>
      <c r="G11" s="155"/>
      <c r="H11" s="155"/>
      <c r="I11" s="156"/>
      <c r="J11" s="156"/>
      <c r="K11" s="156"/>
      <c r="L11" s="156"/>
      <c r="M11" s="156"/>
    </row>
    <row r="12" spans="1:14" ht="13.5" outlineLevel="1">
      <c r="B12" s="84" t="s">
        <v>796</v>
      </c>
      <c r="C12" s="84"/>
      <c r="D12" s="53"/>
      <c r="E12" s="50"/>
      <c r="F12" s="32"/>
      <c r="G12" s="32"/>
      <c r="H12" s="32"/>
      <c r="I12" s="32"/>
      <c r="J12" s="32"/>
      <c r="K12" s="32"/>
      <c r="L12" s="32"/>
      <c r="M12" s="32"/>
    </row>
    <row r="13" spans="1:14" outlineLevel="1">
      <c r="B13" s="54"/>
      <c r="C13" s="54"/>
      <c r="D13" s="50"/>
      <c r="E13" s="50"/>
      <c r="F13" s="32"/>
      <c r="G13" s="32"/>
      <c r="H13" s="32"/>
      <c r="I13" s="32"/>
      <c r="J13" s="32"/>
      <c r="K13" s="32"/>
      <c r="L13" s="32"/>
      <c r="M13" s="32"/>
    </row>
    <row r="14" spans="1:14" outlineLevel="1">
      <c r="A14" s="28"/>
      <c r="B14" s="161" t="s">
        <v>25</v>
      </c>
      <c r="C14" s="162" t="s">
        <v>20</v>
      </c>
      <c r="D14" s="162" t="s">
        <v>21</v>
      </c>
      <c r="E14" s="162" t="s">
        <v>22</v>
      </c>
      <c r="F14" s="162" t="s">
        <v>24</v>
      </c>
      <c r="G14" s="162" t="s">
        <v>23</v>
      </c>
      <c r="H14" s="162" t="s">
        <v>42</v>
      </c>
      <c r="I14" s="162" t="s">
        <v>43</v>
      </c>
      <c r="J14" s="162" t="s">
        <v>44</v>
      </c>
      <c r="K14" s="162" t="s">
        <v>45</v>
      </c>
      <c r="L14" s="162" t="s">
        <v>46</v>
      </c>
      <c r="M14" s="163" t="s">
        <v>47</v>
      </c>
      <c r="N14" s="29"/>
    </row>
    <row r="15" spans="1:14" ht="13.5" outlineLevel="1">
      <c r="A15" s="28"/>
      <c r="B15" s="164" t="s">
        <v>59</v>
      </c>
      <c r="C15" s="165">
        <f>COUNTIF(TS_회원전환[SYS],표1_2[[#This Row],[SYS]])</f>
        <v>34</v>
      </c>
      <c r="D15" s="165">
        <f>COUNTIFS('2_회원전환'!$F:$F,표1_2[[#This Row],[SYS]],'2_회원전환'!$N:$N,표1_2[[#Headers],[Pass]])</f>
        <v>0</v>
      </c>
      <c r="E15" s="165">
        <f>COUNTIFS('2_회원전환'!$F:$F,표1_2[[#This Row],[SYS]],'2_회원전환'!$N:$N,표1_2[[#Headers],[Fail]])</f>
        <v>0</v>
      </c>
      <c r="F15" s="165">
        <f>COUNTIFS('2_회원전환'!$F:$F,표1_2[[#This Row],[SYS]],'2_회원전환'!$N:$N,표1_2[[#Headers],[Block]])</f>
        <v>0</v>
      </c>
      <c r="G15" s="165">
        <f>COUNTIFS('2_회원전환'!$F:$F,표1_2[[#This Row],[SYS]],'2_회원전환'!$N:$N,표1_2[[#Headers],[N/A]])</f>
        <v>0</v>
      </c>
      <c r="H15" s="166">
        <f>SUM(표1_2[[#This Row],[Pass]:[N/A]])</f>
        <v>0</v>
      </c>
      <c r="I15" s="167">
        <f>IFERROR(표1_2[[#This Row],[Total]]/표1_2[[#This Row],[시나리오 수]],0)</f>
        <v>0</v>
      </c>
      <c r="J15" s="167">
        <f>IFERROR(SUM(표1_2[[#This Row],[Pass]:[Fail]])/(표1_2[[#This Row],[시나리오 수]]-표1_2[[#This Row],[N/A]]),0)</f>
        <v>0</v>
      </c>
      <c r="K15" s="167">
        <f>IFERROR(표1_2[[#This Row],[Pass]]/SUM(표1_2[[#This Row],[Pass]:[Fail]]),0)</f>
        <v>0</v>
      </c>
      <c r="L15" s="167">
        <f>IFERROR((표1_2[[#This Row],[Fail]]/SUM(표1_2[[#This Row],[Pass]:[Fail]])),0)</f>
        <v>0</v>
      </c>
      <c r="M15" s="149">
        <f>IFERROR((표1_2[[#This Row],[Block]]/표1_2[[#This Row],[시나리오 수]]),0)</f>
        <v>0</v>
      </c>
      <c r="N15" s="29"/>
    </row>
    <row r="16" spans="1:14" ht="13.5" outlineLevel="1">
      <c r="A16" s="28"/>
      <c r="B16" s="164" t="s">
        <v>48</v>
      </c>
      <c r="C16" s="165">
        <f>COUNTIF(TS_회원전환[SYS],표1_2[[#This Row],[SYS]])</f>
        <v>34</v>
      </c>
      <c r="D16" s="165">
        <f>COUNTIFS('2_회원전환'!$F:$F,표1_2[[#This Row],[SYS]],'2_회원전환'!$N:$N,표1_2[[#Headers],[Pass]])</f>
        <v>0</v>
      </c>
      <c r="E16" s="165">
        <f>COUNTIFS('2_회원전환'!$F:$F,표1_2[[#This Row],[SYS]],'2_회원전환'!$N:$N,표1_2[[#Headers],[Fail]])</f>
        <v>0</v>
      </c>
      <c r="F16" s="165">
        <f>COUNTIFS('2_회원전환'!$F:$F,표1_2[[#This Row],[SYS]],'2_회원전환'!$N:$N,표1_2[[#Headers],[Block]])</f>
        <v>0</v>
      </c>
      <c r="G16" s="165">
        <f>COUNTIFS('2_회원전환'!$F:$F,표1_2[[#This Row],[SYS]],'2_회원전환'!$N:$N,표1_2[[#Headers],[N/A]])</f>
        <v>0</v>
      </c>
      <c r="H16" s="166">
        <f>SUM(표1_2[[#This Row],[Pass]:[N/A]])</f>
        <v>0</v>
      </c>
      <c r="I16" s="167">
        <f>IFERROR(표1_2[[#This Row],[Total]]/표1_2[[#This Row],[시나리오 수]],0)</f>
        <v>0</v>
      </c>
      <c r="J16" s="167">
        <f>IFERROR(SUM(표1_2[[#This Row],[Pass]:[Fail]])/표1_2[[#This Row],[시나리오 수]],0)</f>
        <v>0</v>
      </c>
      <c r="K16" s="167">
        <f>IFERROR(표1_2[[#This Row],[Pass]]/SUM(표1_2[[#This Row],[Pass]:[Fail]]),0)</f>
        <v>0</v>
      </c>
      <c r="L16" s="167">
        <f>IFERROR((표1_2[[#This Row],[Fail]]/SUM(표1_2[[#This Row],[Pass]:[Fail]])),0)</f>
        <v>0</v>
      </c>
      <c r="M16" s="149">
        <f>IFERROR((표1_2[[#This Row],[Block]]/표1_2[[#This Row],[시나리오 수]]),0)</f>
        <v>0</v>
      </c>
      <c r="N16" s="29"/>
    </row>
    <row r="17" spans="1:14" ht="13.5" outlineLevel="1">
      <c r="A17" s="28"/>
      <c r="B17" s="164" t="s">
        <v>49</v>
      </c>
      <c r="C17" s="165">
        <f>COUNTIF(TS_회원전환[SYS],표1_2[[#This Row],[SYS]])</f>
        <v>12</v>
      </c>
      <c r="D17" s="165">
        <f>COUNTIFS('2_회원전환'!$F:$F,표1_2[[#This Row],[SYS]],'2_회원전환'!$N:$N,표1_2[[#Headers],[Pass]])</f>
        <v>0</v>
      </c>
      <c r="E17" s="165">
        <f>COUNTIFS('2_회원전환'!$F:$F,표1_2[[#This Row],[SYS]],'2_회원전환'!$N:$N,표1_2[[#Headers],[Fail]])</f>
        <v>0</v>
      </c>
      <c r="F17" s="165">
        <f>COUNTIFS('2_회원전환'!$F:$F,표1_2[[#This Row],[SYS]],'2_회원전환'!$N:$N,표1_2[[#Headers],[Block]])</f>
        <v>0</v>
      </c>
      <c r="G17" s="165">
        <f>COUNTIFS('2_회원전환'!$F:$F,표1_2[[#This Row],[SYS]],'2_회원전환'!$N:$N,표1_2[[#Headers],[N/A]])</f>
        <v>0</v>
      </c>
      <c r="H17" s="166">
        <f>SUM(표1_2[[#This Row],[Pass]:[N/A]])</f>
        <v>0</v>
      </c>
      <c r="I17" s="167">
        <f>IFERROR(표1_2[[#This Row],[Total]]/표1_2[[#This Row],[시나리오 수]],0)</f>
        <v>0</v>
      </c>
      <c r="J17" s="167">
        <f>IFERROR(SUM(표1_2[[#This Row],[Pass]:[Fail]])/표1_2[[#This Row],[시나리오 수]],0)</f>
        <v>0</v>
      </c>
      <c r="K17" s="167">
        <f>IFERROR(표1_2[[#This Row],[Pass]]/SUM(표1_2[[#This Row],[Pass]:[Fail]]),0)</f>
        <v>0</v>
      </c>
      <c r="L17" s="167">
        <f>IFERROR((표1_2[[#This Row],[Fail]]/SUM(표1_2[[#This Row],[Pass]:[Fail]])),0)</f>
        <v>0</v>
      </c>
      <c r="M17" s="149">
        <f>IFERROR((표1_2[[#This Row],[Block]]/표1_2[[#This Row],[시나리오 수]]),0)</f>
        <v>0</v>
      </c>
      <c r="N17" s="29"/>
    </row>
    <row r="18" spans="1:14" ht="13.5" outlineLevel="1">
      <c r="A18" s="28"/>
      <c r="B18" s="164" t="s">
        <v>50</v>
      </c>
      <c r="C18" s="165">
        <f>COUNTIF(TS_회원전환[SYS],표1_2[[#This Row],[SYS]])</f>
        <v>0</v>
      </c>
      <c r="D18" s="165">
        <f>COUNTIFS('2_회원전환'!$F:$F,표1_2[[#This Row],[SYS]],'2_회원전환'!$N:$N,표1_2[[#Headers],[Pass]])</f>
        <v>0</v>
      </c>
      <c r="E18" s="165">
        <f>COUNTIFS('2_회원전환'!$F:$F,표1_2[[#This Row],[SYS]],'2_회원전환'!$N:$N,표1_2[[#Headers],[Fail]])</f>
        <v>0</v>
      </c>
      <c r="F18" s="165">
        <f>COUNTIFS('2_회원전환'!$F:$F,표1_2[[#This Row],[SYS]],'2_회원전환'!$N:$N,표1_2[[#Headers],[Block]])</f>
        <v>0</v>
      </c>
      <c r="G18" s="165">
        <f>COUNTIFS('2_회원전환'!$F:$F,표1_2[[#This Row],[SYS]],'2_회원전환'!$N:$N,표1_2[[#Headers],[N/A]])</f>
        <v>0</v>
      </c>
      <c r="H18" s="166">
        <f>SUM(표1_2[[#This Row],[Pass]:[N/A]])</f>
        <v>0</v>
      </c>
      <c r="I18" s="167">
        <f>IFERROR(표1_2[[#This Row],[Total]]/표1_2[[#This Row],[시나리오 수]],0)</f>
        <v>0</v>
      </c>
      <c r="J18" s="167">
        <f>IFERROR(SUM(표1_2[[#This Row],[Pass]:[Fail]])/표1_2[[#This Row],[시나리오 수]],0)</f>
        <v>0</v>
      </c>
      <c r="K18" s="167">
        <f>IFERROR(표1_2[[#This Row],[Pass]]/SUM(표1_2[[#This Row],[Pass]:[Fail]]),0)</f>
        <v>0</v>
      </c>
      <c r="L18" s="167">
        <f>IFERROR((표1_2[[#This Row],[Fail]]/SUM(표1_2[[#This Row],[Pass]:[Fail]])),0)</f>
        <v>0</v>
      </c>
      <c r="M18" s="149">
        <f>IFERROR((표1_2[[#This Row],[Block]]/표1_2[[#This Row],[시나리오 수]]),0)</f>
        <v>0</v>
      </c>
      <c r="N18" s="29"/>
    </row>
    <row r="19" spans="1:14" ht="13.5" outlineLevel="1">
      <c r="A19" s="28"/>
      <c r="B19" s="101" t="s">
        <v>42</v>
      </c>
      <c r="C19" s="169">
        <f t="shared" ref="C19" si="2">SUM(C15:C18)</f>
        <v>80</v>
      </c>
      <c r="D19" s="170">
        <f t="shared" ref="D19:H19" si="3">SUM(D15:D18)</f>
        <v>0</v>
      </c>
      <c r="E19" s="170">
        <f t="shared" si="3"/>
        <v>0</v>
      </c>
      <c r="F19" s="170">
        <f t="shared" si="3"/>
        <v>0</v>
      </c>
      <c r="G19" s="170">
        <f t="shared" si="3"/>
        <v>0</v>
      </c>
      <c r="H19" s="170">
        <f t="shared" si="3"/>
        <v>0</v>
      </c>
      <c r="I19" s="171">
        <f>IFERROR(표1_2[[#This Row],[Total]]/표1_2[[#This Row],[시나리오 수]],0)</f>
        <v>0</v>
      </c>
      <c r="J19" s="171">
        <f>IFERROR(SUM(표1_2[[#This Row],[Pass]:[Fail]])/표1_2[[#This Row],[시나리오 수]],0)</f>
        <v>0</v>
      </c>
      <c r="K19" s="171">
        <f>IFERROR(표1_2[[#This Row],[Pass]]/SUM(표1_2[[#This Row],[Pass]:[Fail]]),0)</f>
        <v>0</v>
      </c>
      <c r="L19" s="171">
        <f>IFERROR((표1_2[[#This Row],[Fail]]/SUM(표1_2[[#This Row],[Pass]:[Fail]])),0)</f>
        <v>0</v>
      </c>
      <c r="M19" s="172">
        <f>IFERROR((표1_2[[#This Row],[Block]]/표1_2[[#This Row],[시나리오 수]]),0)</f>
        <v>0</v>
      </c>
      <c r="N19" s="29"/>
    </row>
    <row r="20" spans="1:14" ht="13.5" outlineLevel="1">
      <c r="B20" s="154"/>
      <c r="C20" s="155"/>
      <c r="D20" s="155"/>
      <c r="E20" s="155"/>
      <c r="F20" s="155"/>
      <c r="G20" s="155"/>
      <c r="H20" s="155"/>
      <c r="I20" s="156"/>
      <c r="J20" s="156"/>
      <c r="K20" s="156"/>
      <c r="L20" s="156"/>
      <c r="M20" s="156"/>
    </row>
    <row r="21" spans="1:14" ht="13.5" outlineLevel="1">
      <c r="B21" s="84" t="s">
        <v>797</v>
      </c>
      <c r="C21" s="84"/>
      <c r="D21" s="53"/>
      <c r="E21" s="50"/>
      <c r="F21" s="32"/>
      <c r="G21" s="32"/>
      <c r="H21" s="32"/>
      <c r="I21" s="32"/>
      <c r="J21" s="32"/>
      <c r="K21" s="32"/>
      <c r="L21" s="32"/>
      <c r="M21" s="32"/>
    </row>
    <row r="22" spans="1:14" outlineLevel="1">
      <c r="B22" s="54"/>
      <c r="C22" s="54"/>
      <c r="D22" s="50"/>
      <c r="E22" s="50"/>
      <c r="F22" s="32"/>
      <c r="G22" s="32"/>
      <c r="H22" s="32"/>
      <c r="I22" s="32"/>
      <c r="J22" s="32"/>
      <c r="K22" s="32"/>
      <c r="L22" s="32"/>
      <c r="M22" s="32"/>
    </row>
    <row r="23" spans="1:14" outlineLevel="1">
      <c r="A23" s="28"/>
      <c r="B23" s="161" t="s">
        <v>25</v>
      </c>
      <c r="C23" s="162" t="s">
        <v>20</v>
      </c>
      <c r="D23" s="162" t="s">
        <v>21</v>
      </c>
      <c r="E23" s="162" t="s">
        <v>22</v>
      </c>
      <c r="F23" s="162" t="s">
        <v>24</v>
      </c>
      <c r="G23" s="162" t="s">
        <v>23</v>
      </c>
      <c r="H23" s="162" t="s">
        <v>42</v>
      </c>
      <c r="I23" s="162" t="s">
        <v>43</v>
      </c>
      <c r="J23" s="162" t="s">
        <v>44</v>
      </c>
      <c r="K23" s="162" t="s">
        <v>45</v>
      </c>
      <c r="L23" s="162" t="s">
        <v>46</v>
      </c>
      <c r="M23" s="163" t="s">
        <v>47</v>
      </c>
      <c r="N23" s="29"/>
    </row>
    <row r="24" spans="1:14" ht="13.5" outlineLevel="1">
      <c r="A24" s="28"/>
      <c r="B24" s="164" t="s">
        <v>59</v>
      </c>
      <c r="C24" s="165">
        <f>COUNTIF(TS_로그인[SYS],표1_3[[#This Row],[SYS]])</f>
        <v>30</v>
      </c>
      <c r="D24" s="165">
        <f>COUNTIFS('3_로그인'!$F:$F,표1_3[[#This Row],[SYS]],'3_로그인'!$N:$N,표1_3[[#Headers],[Pass]])</f>
        <v>0</v>
      </c>
      <c r="E24" s="165">
        <f>COUNTIFS('3_로그인'!$F:$F,표1_3[[#This Row],[SYS]],'3_로그인'!$N:$N,표1_3[[#Headers],[Fail]])</f>
        <v>0</v>
      </c>
      <c r="F24" s="165">
        <f>COUNTIFS('3_로그인'!$F:$F,표1_3[[#This Row],[SYS]],'3_로그인'!$N:$N,표1_3[[#Headers],[Block]])</f>
        <v>0</v>
      </c>
      <c r="G24" s="165">
        <f>COUNTIFS('3_로그인'!$F:$F,표1_3[[#This Row],[SYS]],'3_로그인'!$N:$N,표1_3[[#Headers],[N/A]])</f>
        <v>0</v>
      </c>
      <c r="H24" s="166">
        <f>SUM(표1_3[[#This Row],[Pass]:[N/A]])</f>
        <v>0</v>
      </c>
      <c r="I24" s="167">
        <f>IFERROR(표1_3[[#This Row],[Total]]/표1_3[[#This Row],[시나리오 수]],0)</f>
        <v>0</v>
      </c>
      <c r="J24" s="167">
        <f>IFERROR(SUM(표1_3[[#This Row],[Pass]:[Fail]])/(표1_3[[#This Row],[시나리오 수]]-표1_3[[#This Row],[N/A]]),0)</f>
        <v>0</v>
      </c>
      <c r="K24" s="167">
        <f>IFERROR(표1_3[[#This Row],[Pass]]/SUM(표1_3[[#This Row],[Pass]:[Fail]]),0)</f>
        <v>0</v>
      </c>
      <c r="L24" s="167">
        <f>IFERROR((표1_3[[#This Row],[Fail]]/SUM(표1_3[[#This Row],[Pass]:[Fail]])),0)</f>
        <v>0</v>
      </c>
      <c r="M24" s="168">
        <f>IFERROR((표1_3[[#This Row],[Block]]/표1_3[[#This Row],[시나리오 수]]),0)</f>
        <v>0</v>
      </c>
      <c r="N24" s="29"/>
    </row>
    <row r="25" spans="1:14" ht="13.5" outlineLevel="1">
      <c r="A25" s="28"/>
      <c r="B25" s="164" t="s">
        <v>48</v>
      </c>
      <c r="C25" s="165">
        <f>COUNTIF(TS_로그인[SYS],표1_3[[#This Row],[SYS]])</f>
        <v>30</v>
      </c>
      <c r="D25" s="165">
        <f>COUNTIFS('3_로그인'!$F:$F,표1_3[[#This Row],[SYS]],'3_로그인'!$N:$N,표1_3[[#Headers],[Pass]])</f>
        <v>0</v>
      </c>
      <c r="E25" s="165">
        <f>COUNTIFS('3_로그인'!$F:$F,표1_3[[#This Row],[SYS]],'3_로그인'!$N:$N,표1_3[[#Headers],[Fail]])</f>
        <v>0</v>
      </c>
      <c r="F25" s="165">
        <f>COUNTIFS('3_로그인'!$F:$F,표1_3[[#This Row],[SYS]],'3_로그인'!$N:$N,표1_3[[#Headers],[Block]])</f>
        <v>0</v>
      </c>
      <c r="G25" s="165">
        <f>COUNTIFS('3_로그인'!$F:$F,표1_3[[#This Row],[SYS]],'3_로그인'!$N:$N,표1_3[[#Headers],[N/A]])</f>
        <v>0</v>
      </c>
      <c r="H25" s="166">
        <f>SUM(표1_3[[#This Row],[Pass]:[N/A]])</f>
        <v>0</v>
      </c>
      <c r="I25" s="167">
        <f>IFERROR(표1_3[[#This Row],[Total]]/표1_3[[#This Row],[시나리오 수]],0)</f>
        <v>0</v>
      </c>
      <c r="J25" s="167">
        <f>IFERROR(SUM(표1_3[[#This Row],[Pass]:[Fail]])/(표1_3[[#This Row],[시나리오 수]]-표1_3[[#This Row],[N/A]]),0)</f>
        <v>0</v>
      </c>
      <c r="K25" s="167">
        <f>IFERROR(표1_3[[#This Row],[Pass]]/SUM(표1_3[[#This Row],[Pass]:[Fail]]),0)</f>
        <v>0</v>
      </c>
      <c r="L25" s="167">
        <f>IFERROR((표1_3[[#This Row],[Fail]]/SUM(표1_3[[#This Row],[Pass]:[Fail]])),0)</f>
        <v>0</v>
      </c>
      <c r="M25" s="168">
        <f>IFERROR((표1_3[[#This Row],[Block]]/표1_3[[#This Row],[시나리오 수]]),0)</f>
        <v>0</v>
      </c>
      <c r="N25" s="29"/>
    </row>
    <row r="26" spans="1:14" ht="13.5" outlineLevel="1">
      <c r="A26" s="28"/>
      <c r="B26" s="164" t="s">
        <v>49</v>
      </c>
      <c r="C26" s="165">
        <f>COUNTIF(TS_로그인[SYS],표1_3[[#This Row],[SYS]])</f>
        <v>3</v>
      </c>
      <c r="D26" s="165">
        <f>COUNTIFS('3_로그인'!$F:$F,표1_3[[#This Row],[SYS]],'3_로그인'!$N:$N,표1_3[[#Headers],[Pass]])</f>
        <v>0</v>
      </c>
      <c r="E26" s="165">
        <f>COUNTIFS('3_로그인'!$F:$F,표1_3[[#This Row],[SYS]],'3_로그인'!$N:$N,표1_3[[#Headers],[Fail]])</f>
        <v>0</v>
      </c>
      <c r="F26" s="165">
        <f>COUNTIFS('3_로그인'!$F:$F,표1_3[[#This Row],[SYS]],'3_로그인'!$N:$N,표1_3[[#Headers],[Block]])</f>
        <v>0</v>
      </c>
      <c r="G26" s="165">
        <f>COUNTIFS('3_로그인'!$F:$F,표1_3[[#This Row],[SYS]],'3_로그인'!$N:$N,표1_3[[#Headers],[N/A]])</f>
        <v>0</v>
      </c>
      <c r="H26" s="166">
        <f>SUM(표1_3[[#This Row],[Pass]:[N/A]])</f>
        <v>0</v>
      </c>
      <c r="I26" s="167">
        <f>IFERROR(표1_3[[#This Row],[Total]]/표1_3[[#This Row],[시나리오 수]],0)</f>
        <v>0</v>
      </c>
      <c r="J26" s="167">
        <f>IFERROR(SUM(표1_3[[#This Row],[Pass]:[Fail]])/(표1_3[[#This Row],[시나리오 수]]-표1_3[[#This Row],[N/A]]),0)</f>
        <v>0</v>
      </c>
      <c r="K26" s="167">
        <f>IFERROR(표1_3[[#This Row],[Pass]]/SUM(표1_3[[#This Row],[Pass]:[Fail]]),0)</f>
        <v>0</v>
      </c>
      <c r="L26" s="167">
        <f>IFERROR((표1_3[[#This Row],[Fail]]/SUM(표1_3[[#This Row],[Pass]:[Fail]])),0)</f>
        <v>0</v>
      </c>
      <c r="M26" s="168">
        <f>IFERROR((표1_3[[#This Row],[Block]]/표1_3[[#This Row],[시나리오 수]]),0)</f>
        <v>0</v>
      </c>
      <c r="N26" s="29"/>
    </row>
    <row r="27" spans="1:14" ht="13.5" outlineLevel="1">
      <c r="A27" s="28"/>
      <c r="B27" s="164" t="s">
        <v>50</v>
      </c>
      <c r="C27" s="165">
        <f>COUNTIF(TS_로그인[SYS],표1_3[[#This Row],[SYS]])</f>
        <v>0</v>
      </c>
      <c r="D27" s="165">
        <f>COUNTIFS('3_로그인'!$F:$F,표1_3[[#This Row],[SYS]],'3_로그인'!$N:$N,표1_3[[#Headers],[Pass]])</f>
        <v>0</v>
      </c>
      <c r="E27" s="165">
        <f>COUNTIFS('3_로그인'!$F:$F,표1_3[[#This Row],[SYS]],'3_로그인'!$N:$N,표1_3[[#Headers],[Fail]])</f>
        <v>0</v>
      </c>
      <c r="F27" s="165">
        <f>COUNTIFS('3_로그인'!$F:$F,표1_3[[#This Row],[SYS]],'3_로그인'!$N:$N,표1_3[[#Headers],[Block]])</f>
        <v>0</v>
      </c>
      <c r="G27" s="165">
        <f>COUNTIFS('3_로그인'!$F:$F,표1_3[[#This Row],[SYS]],'3_로그인'!$N:$N,표1_3[[#Headers],[N/A]])</f>
        <v>0</v>
      </c>
      <c r="H27" s="166">
        <f>SUM(표1_3[[#This Row],[Pass]:[N/A]])</f>
        <v>0</v>
      </c>
      <c r="I27" s="167">
        <f>IFERROR(표1_3[[#This Row],[Total]]/표1_3[[#This Row],[시나리오 수]],0)</f>
        <v>0</v>
      </c>
      <c r="J27" s="167">
        <f>IFERROR(SUM(표1_3[[#This Row],[Pass]:[Fail]])/(표1_3[[#This Row],[시나리오 수]]-표1_3[[#This Row],[N/A]]),0)</f>
        <v>0</v>
      </c>
      <c r="K27" s="167">
        <f>IFERROR(표1_3[[#This Row],[Pass]]/SUM(표1_3[[#This Row],[Pass]:[Fail]]),0)</f>
        <v>0</v>
      </c>
      <c r="L27" s="167">
        <f>IFERROR((표1_3[[#This Row],[Fail]]/SUM(표1_3[[#This Row],[Pass]:[Fail]])),0)</f>
        <v>0</v>
      </c>
      <c r="M27" s="168">
        <f>IFERROR((표1_3[[#This Row],[Block]]/표1_3[[#This Row],[시나리오 수]]),0)</f>
        <v>0</v>
      </c>
      <c r="N27" s="29"/>
    </row>
    <row r="28" spans="1:14" ht="13.5" outlineLevel="1">
      <c r="A28" s="28"/>
      <c r="B28" s="101" t="s">
        <v>42</v>
      </c>
      <c r="C28" s="169">
        <f t="shared" ref="C28" si="4">SUM(C24:C27)</f>
        <v>63</v>
      </c>
      <c r="D28" s="170">
        <f t="shared" ref="D28:H28" si="5">SUM(D24:D27)</f>
        <v>0</v>
      </c>
      <c r="E28" s="170">
        <f t="shared" si="5"/>
        <v>0</v>
      </c>
      <c r="F28" s="170">
        <f t="shared" si="5"/>
        <v>0</v>
      </c>
      <c r="G28" s="170">
        <f t="shared" si="5"/>
        <v>0</v>
      </c>
      <c r="H28" s="170">
        <f t="shared" si="5"/>
        <v>0</v>
      </c>
      <c r="I28" s="171">
        <f>IFERROR(표1_3[[#This Row],[Total]]/표1_3[[#This Row],[시나리오 수]],0)</f>
        <v>0</v>
      </c>
      <c r="J28" s="171">
        <f>IFERROR(SUM(표1_3[[#This Row],[Pass]:[Fail]])/표1_3[[#This Row],[시나리오 수]],0)</f>
        <v>0</v>
      </c>
      <c r="K28" s="171">
        <f>IFERROR(표1_3[[#This Row],[Pass]]/SUM(표1_3[[#This Row],[Pass]:[Fail]]),0)</f>
        <v>0</v>
      </c>
      <c r="L28" s="171">
        <f>IFERROR((표1_3[[#This Row],[Fail]]/SUM(표1_3[[#This Row],[Pass]:[Fail]])),0)</f>
        <v>0</v>
      </c>
      <c r="M28" s="172">
        <f>IFERROR((표1_3[[#This Row],[Block]]/표1_3[[#This Row],[시나리오 수]]),0)</f>
        <v>0</v>
      </c>
      <c r="N28" s="29"/>
    </row>
    <row r="29" spans="1:14" ht="13.5" outlineLevel="1">
      <c r="B29" s="154"/>
      <c r="C29" s="155"/>
      <c r="D29" s="155"/>
      <c r="E29" s="155"/>
      <c r="F29" s="155"/>
      <c r="G29" s="155"/>
      <c r="H29" s="155"/>
      <c r="I29" s="156"/>
      <c r="J29" s="156"/>
      <c r="K29" s="156"/>
      <c r="L29" s="156"/>
      <c r="M29" s="156"/>
    </row>
    <row r="30" spans="1:14" ht="13.5" outlineLevel="1">
      <c r="B30" s="84" t="s">
        <v>798</v>
      </c>
      <c r="C30" s="84"/>
      <c r="D30" s="53"/>
      <c r="E30" s="50"/>
      <c r="F30" s="32"/>
      <c r="G30" s="32"/>
      <c r="H30" s="32"/>
      <c r="I30" s="32"/>
      <c r="J30" s="32"/>
      <c r="K30" s="32"/>
      <c r="L30" s="32"/>
      <c r="M30" s="32"/>
    </row>
    <row r="31" spans="1:14" outlineLevel="1">
      <c r="B31" s="54"/>
      <c r="C31" s="54"/>
      <c r="D31" s="50"/>
      <c r="E31" s="50"/>
      <c r="F31" s="32"/>
      <c r="G31" s="32"/>
      <c r="H31" s="32"/>
      <c r="I31" s="32"/>
      <c r="J31" s="32"/>
      <c r="K31" s="32"/>
      <c r="L31" s="32"/>
      <c r="M31" s="32"/>
    </row>
    <row r="32" spans="1:14" outlineLevel="1">
      <c r="A32" s="28"/>
      <c r="B32" s="161" t="s">
        <v>25</v>
      </c>
      <c r="C32" s="162" t="s">
        <v>20</v>
      </c>
      <c r="D32" s="162" t="s">
        <v>21</v>
      </c>
      <c r="E32" s="162" t="s">
        <v>22</v>
      </c>
      <c r="F32" s="162" t="s">
        <v>24</v>
      </c>
      <c r="G32" s="162" t="s">
        <v>23</v>
      </c>
      <c r="H32" s="162" t="s">
        <v>42</v>
      </c>
      <c r="I32" s="162" t="s">
        <v>43</v>
      </c>
      <c r="J32" s="162" t="s">
        <v>44</v>
      </c>
      <c r="K32" s="162" t="s">
        <v>45</v>
      </c>
      <c r="L32" s="162" t="s">
        <v>46</v>
      </c>
      <c r="M32" s="163" t="s">
        <v>47</v>
      </c>
      <c r="N32" s="29"/>
    </row>
    <row r="33" spans="1:14" ht="13.5" outlineLevel="1">
      <c r="A33" s="28"/>
      <c r="B33" s="164" t="s">
        <v>59</v>
      </c>
      <c r="C33" s="165">
        <f>COUNTIF(TS_ID찾기[SYS],표1_4[[#This Row],[SYS]])</f>
        <v>20</v>
      </c>
      <c r="D33" s="165">
        <f>COUNTIFS('4_ID 찾기'!$F:$F,표1_4[[#This Row],[SYS]],'4_ID 찾기'!$N:$N,표1_4[[#Headers],[Pass]])</f>
        <v>0</v>
      </c>
      <c r="E33" s="165">
        <f>COUNTIFS('4_ID 찾기'!$F:$F,표1_4[[#This Row],[SYS]],'4_ID 찾기'!$N:$N,표1_4[[#Headers],[Fail]])</f>
        <v>0</v>
      </c>
      <c r="F33" s="165">
        <f>COUNTIFS('4_ID 찾기'!$F:$F,표1_4[[#This Row],[SYS]],'4_ID 찾기'!$N:$N,표1_4[[#Headers],[Block]])</f>
        <v>0</v>
      </c>
      <c r="G33" s="165">
        <f>COUNTIFS('4_ID 찾기'!$F:$F,표1_4[[#This Row],[SYS]],'4_ID 찾기'!$N:$N,표1_4[[#Headers],[N/A]])</f>
        <v>0</v>
      </c>
      <c r="H33" s="166">
        <f>SUM(표1_4[[#This Row],[Pass]:[N/A]])</f>
        <v>0</v>
      </c>
      <c r="I33" s="167">
        <f>IFERROR(표1_4[[#This Row],[Total]]/표1_4[[#This Row],[시나리오 수]],0)</f>
        <v>0</v>
      </c>
      <c r="J33" s="167">
        <f>IFERROR(SUM(표1_4[[#This Row],[Pass]:[Fail]])/(표1_4[[#This Row],[시나리오 수]]-표1_4[[#This Row],[N/A]]),0)</f>
        <v>0</v>
      </c>
      <c r="K33" s="167">
        <f>IFERROR(표1_4[[#This Row],[Pass]]/SUM(표1_4[[#This Row],[Pass]:[Fail]]),0)</f>
        <v>0</v>
      </c>
      <c r="L33" s="167">
        <f>IFERROR((표1_4[[#This Row],[Fail]]/SUM(표1_4[[#This Row],[Pass]:[Fail]])),0)</f>
        <v>0</v>
      </c>
      <c r="M33" s="168">
        <f>IFERROR((표1_4[[#This Row],[Block]]/표1_4[[#This Row],[시나리오 수]]),0)</f>
        <v>0</v>
      </c>
      <c r="N33" s="29"/>
    </row>
    <row r="34" spans="1:14" ht="13.5" outlineLevel="1">
      <c r="A34" s="28"/>
      <c r="B34" s="164" t="s">
        <v>48</v>
      </c>
      <c r="C34" s="165">
        <f>COUNTIF(TS_ID찾기[SYS],표1_4[[#This Row],[SYS]])</f>
        <v>20</v>
      </c>
      <c r="D34" s="165">
        <f>COUNTIFS('4_ID 찾기'!$F:$F,표1_4[[#This Row],[SYS]],'4_ID 찾기'!$N:$N,표1_4[[#Headers],[Pass]])</f>
        <v>0</v>
      </c>
      <c r="E34" s="165">
        <f>COUNTIFS('4_ID 찾기'!$F:$F,표1_4[[#This Row],[SYS]],'4_ID 찾기'!$N:$N,표1_4[[#Headers],[Fail]])</f>
        <v>0</v>
      </c>
      <c r="F34" s="165">
        <f>COUNTIFS('4_ID 찾기'!$F:$F,표1_4[[#This Row],[SYS]],'4_ID 찾기'!$N:$N,표1_4[[#Headers],[Block]])</f>
        <v>0</v>
      </c>
      <c r="G34" s="165">
        <f>COUNTIFS('4_ID 찾기'!$F:$F,표1_4[[#This Row],[SYS]],'4_ID 찾기'!$N:$N,표1_4[[#Headers],[N/A]])</f>
        <v>0</v>
      </c>
      <c r="H34" s="166">
        <f>SUM(표1_4[[#This Row],[Pass]:[N/A]])</f>
        <v>0</v>
      </c>
      <c r="I34" s="167">
        <f>IFERROR(표1_4[[#This Row],[Total]]/표1_4[[#This Row],[시나리오 수]],0)</f>
        <v>0</v>
      </c>
      <c r="J34" s="167">
        <f>IFERROR(SUM(표1_4[[#This Row],[Pass]:[Fail]])/(표1_4[[#This Row],[시나리오 수]]-표1_4[[#This Row],[N/A]]),0)</f>
        <v>0</v>
      </c>
      <c r="K34" s="167">
        <f>IFERROR(표1_4[[#This Row],[Pass]]/SUM(표1_4[[#This Row],[Pass]:[Fail]]),0)</f>
        <v>0</v>
      </c>
      <c r="L34" s="167">
        <f>IFERROR((표1_4[[#This Row],[Fail]]/SUM(표1_4[[#This Row],[Pass]:[Fail]])),0)</f>
        <v>0</v>
      </c>
      <c r="M34" s="168">
        <f>IFERROR((표1_4[[#This Row],[Block]]/표1_4[[#This Row],[시나리오 수]]),0)</f>
        <v>0</v>
      </c>
      <c r="N34" s="29"/>
    </row>
    <row r="35" spans="1:14" ht="13.5" outlineLevel="1">
      <c r="A35" s="28"/>
      <c r="B35" s="164" t="s">
        <v>49</v>
      </c>
      <c r="C35" s="165">
        <f>COUNTIF(TS_ID찾기[SYS],표1_4[[#This Row],[SYS]])</f>
        <v>0</v>
      </c>
      <c r="D35" s="165">
        <f>COUNTIFS('4_ID 찾기'!$F:$F,표1_4[[#This Row],[SYS]],'4_ID 찾기'!$N:$N,표1_4[[#Headers],[Pass]])</f>
        <v>0</v>
      </c>
      <c r="E35" s="165">
        <f>COUNTIFS('4_ID 찾기'!$F:$F,표1_4[[#This Row],[SYS]],'4_ID 찾기'!$N:$N,표1_4[[#Headers],[Fail]])</f>
        <v>0</v>
      </c>
      <c r="F35" s="165">
        <f>COUNTIFS('4_ID 찾기'!$F:$F,표1_4[[#This Row],[SYS]],'4_ID 찾기'!$N:$N,표1_4[[#Headers],[Block]])</f>
        <v>0</v>
      </c>
      <c r="G35" s="165">
        <f>COUNTIFS('4_ID 찾기'!$F:$F,표1_4[[#This Row],[SYS]],'4_ID 찾기'!$N:$N,표1_4[[#Headers],[N/A]])</f>
        <v>0</v>
      </c>
      <c r="H35" s="166">
        <f>SUM(표1_4[[#This Row],[Pass]:[N/A]])</f>
        <v>0</v>
      </c>
      <c r="I35" s="167">
        <f>IFERROR(표1_4[[#This Row],[Total]]/표1_4[[#This Row],[시나리오 수]],0)</f>
        <v>0</v>
      </c>
      <c r="J35" s="167">
        <f>IFERROR(SUM(표1_4[[#This Row],[Pass]:[Fail]])/(표1_4[[#This Row],[시나리오 수]]-표1_4[[#This Row],[N/A]]),0)</f>
        <v>0</v>
      </c>
      <c r="K35" s="167">
        <f>IFERROR(표1_4[[#This Row],[Pass]]/SUM(표1_4[[#This Row],[Pass]:[Fail]]),0)</f>
        <v>0</v>
      </c>
      <c r="L35" s="167">
        <f>IFERROR((표1_4[[#This Row],[Fail]]/SUM(표1_4[[#This Row],[Pass]:[Fail]])),0)</f>
        <v>0</v>
      </c>
      <c r="M35" s="168">
        <f>IFERROR((표1_4[[#This Row],[Block]]/표1_4[[#This Row],[시나리오 수]]),0)</f>
        <v>0</v>
      </c>
      <c r="N35" s="29"/>
    </row>
    <row r="36" spans="1:14" ht="13.5" outlineLevel="1">
      <c r="A36" s="28"/>
      <c r="B36" s="164" t="s">
        <v>50</v>
      </c>
      <c r="C36" s="165">
        <f>COUNTIF(TS_ID찾기[SYS],표1_4[[#This Row],[SYS]])</f>
        <v>0</v>
      </c>
      <c r="D36" s="165">
        <f>COUNTIFS('4_ID 찾기'!$F:$F,표1_4[[#This Row],[SYS]],'4_ID 찾기'!$N:$N,표1_4[[#Headers],[Pass]])</f>
        <v>0</v>
      </c>
      <c r="E36" s="165">
        <f>COUNTIFS('4_ID 찾기'!$F:$F,표1_4[[#This Row],[SYS]],'4_ID 찾기'!$N:$N,표1_4[[#Headers],[Fail]])</f>
        <v>0</v>
      </c>
      <c r="F36" s="165">
        <f>COUNTIFS('4_ID 찾기'!$F:$F,표1_4[[#This Row],[SYS]],'4_ID 찾기'!$N:$N,표1_4[[#Headers],[Block]])</f>
        <v>0</v>
      </c>
      <c r="G36" s="165">
        <f>COUNTIFS('4_ID 찾기'!$F:$F,표1_4[[#This Row],[SYS]],'4_ID 찾기'!$N:$N,표1_4[[#Headers],[N/A]])</f>
        <v>0</v>
      </c>
      <c r="H36" s="166">
        <f>SUM(표1_4[[#This Row],[Pass]:[N/A]])</f>
        <v>0</v>
      </c>
      <c r="I36" s="167">
        <f>IFERROR(표1_4[[#This Row],[Total]]/표1_4[[#This Row],[시나리오 수]],0)</f>
        <v>0</v>
      </c>
      <c r="J36" s="167">
        <f>IFERROR(SUM(표1_4[[#This Row],[Pass]:[Fail]])/(표1_4[[#This Row],[시나리오 수]]-표1_4[[#This Row],[N/A]]),0)</f>
        <v>0</v>
      </c>
      <c r="K36" s="167">
        <f>IFERROR(표1_4[[#This Row],[Pass]]/SUM(표1_4[[#This Row],[Pass]:[Fail]]),0)</f>
        <v>0</v>
      </c>
      <c r="L36" s="167">
        <f>IFERROR((표1_4[[#This Row],[Fail]]/SUM(표1_4[[#This Row],[Pass]:[Fail]])),0)</f>
        <v>0</v>
      </c>
      <c r="M36" s="168">
        <f>IFERROR((표1_4[[#This Row],[Block]]/표1_4[[#This Row],[시나리오 수]]),0)</f>
        <v>0</v>
      </c>
      <c r="N36" s="29"/>
    </row>
    <row r="37" spans="1:14" ht="13.5" outlineLevel="1">
      <c r="A37" s="28"/>
      <c r="B37" s="101" t="s">
        <v>42</v>
      </c>
      <c r="C37" s="169">
        <f t="shared" ref="C37" si="6">SUM(C33:C36)</f>
        <v>40</v>
      </c>
      <c r="D37" s="170">
        <f t="shared" ref="D37:H37" si="7">SUM(D33:D36)</f>
        <v>0</v>
      </c>
      <c r="E37" s="170">
        <f t="shared" si="7"/>
        <v>0</v>
      </c>
      <c r="F37" s="170">
        <f t="shared" si="7"/>
        <v>0</v>
      </c>
      <c r="G37" s="170">
        <f t="shared" si="7"/>
        <v>0</v>
      </c>
      <c r="H37" s="170">
        <f t="shared" si="7"/>
        <v>0</v>
      </c>
      <c r="I37" s="171">
        <f>IFERROR(표1_4[[#This Row],[Total]]/표1_4[[#This Row],[시나리오 수]],0)</f>
        <v>0</v>
      </c>
      <c r="J37" s="171">
        <f>IFERROR(SUM(표1_4[[#This Row],[Pass]:[Fail]])/표1_4[[#This Row],[시나리오 수]],0)</f>
        <v>0</v>
      </c>
      <c r="K37" s="171">
        <f>IFERROR(표1_4[[#This Row],[Pass]]/SUM(표1_4[[#This Row],[Pass]:[Fail]]),0)</f>
        <v>0</v>
      </c>
      <c r="L37" s="171">
        <f>IFERROR((표1_4[[#This Row],[Fail]]/SUM(표1_4[[#This Row],[Pass]:[Fail]])),0)</f>
        <v>0</v>
      </c>
      <c r="M37" s="172">
        <f>IFERROR((표1_4[[#This Row],[Block]]/표1_4[[#This Row],[시나리오 수]]),0)</f>
        <v>0</v>
      </c>
      <c r="N37" s="29"/>
    </row>
    <row r="38" spans="1:14" ht="13.5" outlineLevel="1">
      <c r="B38" s="154"/>
      <c r="C38" s="155"/>
      <c r="D38" s="155"/>
      <c r="E38" s="155"/>
      <c r="F38" s="155"/>
      <c r="G38" s="155"/>
      <c r="H38" s="155"/>
      <c r="I38" s="156"/>
      <c r="J38" s="156"/>
      <c r="K38" s="156"/>
      <c r="L38" s="156"/>
      <c r="M38" s="156"/>
    </row>
    <row r="39" spans="1:14" ht="13.5" outlineLevel="1">
      <c r="B39" s="84" t="s">
        <v>799</v>
      </c>
      <c r="C39" s="84"/>
      <c r="D39" s="53"/>
      <c r="E39" s="50"/>
      <c r="F39" s="32"/>
      <c r="G39" s="32"/>
      <c r="H39" s="32"/>
      <c r="I39" s="32"/>
      <c r="J39" s="32"/>
      <c r="K39" s="32"/>
      <c r="L39" s="32"/>
      <c r="M39" s="32"/>
    </row>
    <row r="40" spans="1:14" outlineLevel="1">
      <c r="B40" s="54"/>
      <c r="C40" s="54"/>
      <c r="D40" s="50"/>
      <c r="E40" s="50"/>
      <c r="F40" s="32"/>
      <c r="G40" s="32"/>
      <c r="H40" s="32"/>
      <c r="I40" s="32"/>
      <c r="J40" s="32"/>
      <c r="K40" s="32"/>
      <c r="L40" s="32"/>
      <c r="M40" s="32"/>
    </row>
    <row r="41" spans="1:14" outlineLevel="1">
      <c r="A41" s="28"/>
      <c r="B41" s="161" t="s">
        <v>25</v>
      </c>
      <c r="C41" s="162" t="s">
        <v>20</v>
      </c>
      <c r="D41" s="162" t="s">
        <v>21</v>
      </c>
      <c r="E41" s="162" t="s">
        <v>22</v>
      </c>
      <c r="F41" s="162" t="s">
        <v>24</v>
      </c>
      <c r="G41" s="162" t="s">
        <v>23</v>
      </c>
      <c r="H41" s="162" t="s">
        <v>42</v>
      </c>
      <c r="I41" s="162" t="s">
        <v>43</v>
      </c>
      <c r="J41" s="162" t="s">
        <v>44</v>
      </c>
      <c r="K41" s="162" t="s">
        <v>45</v>
      </c>
      <c r="L41" s="162" t="s">
        <v>46</v>
      </c>
      <c r="M41" s="163" t="s">
        <v>47</v>
      </c>
      <c r="N41" s="29"/>
    </row>
    <row r="42" spans="1:14" ht="13.5" outlineLevel="1">
      <c r="A42" s="28"/>
      <c r="B42" s="164" t="s">
        <v>59</v>
      </c>
      <c r="C42" s="165">
        <f>COUNTIF(TS_PW찾기[SYS],표1_5[[#This Row],[SYS]])</f>
        <v>24</v>
      </c>
      <c r="D42" s="165">
        <f>COUNTIFS('5_PW 찾기'!$F:$F,표1_5[[#This Row],[SYS]],'5_PW 찾기'!$N:$N,표1_5[[#Headers],[Pass]])</f>
        <v>0</v>
      </c>
      <c r="E42" s="165">
        <f>COUNTIFS('5_PW 찾기'!$F:$F,표1_5[[#This Row],[SYS]],'5_PW 찾기'!$N:$N,표1_5[[#Headers],[Fail]])</f>
        <v>0</v>
      </c>
      <c r="F42" s="165">
        <f>COUNTIFS('5_PW 찾기'!$F:$F,표1_5[[#This Row],[SYS]],'5_PW 찾기'!$N:$N,표1_5[[#Headers],[Block]])</f>
        <v>0</v>
      </c>
      <c r="G42" s="165">
        <f>COUNTIFS('5_PW 찾기'!$F:$F,표1_5[[#This Row],[SYS]],'5_PW 찾기'!$N:$N,표1_5[[#Headers],[N/A]])</f>
        <v>0</v>
      </c>
      <c r="H42" s="166">
        <f>SUM(표1_5[[#This Row],[Pass]:[N/A]])</f>
        <v>0</v>
      </c>
      <c r="I42" s="167">
        <f>IFERROR(표1_5[[#This Row],[Total]]/표1_5[[#This Row],[시나리오 수]],0)</f>
        <v>0</v>
      </c>
      <c r="J42" s="167">
        <f>IFERROR(SUM(표1_5[[#This Row],[Pass]:[Fail]])/(표1_5[[#This Row],[시나리오 수]]-표1_5[[#This Row],[N/A]]),0)</f>
        <v>0</v>
      </c>
      <c r="K42" s="167">
        <f>IFERROR(표1_5[[#This Row],[Pass]]/SUM(표1_5[[#This Row],[Pass]:[Fail]]),0)</f>
        <v>0</v>
      </c>
      <c r="L42" s="167">
        <f>IFERROR((표1_5[[#This Row],[Fail]]/SUM(표1_5[[#This Row],[Pass]:[Fail]])),0)</f>
        <v>0</v>
      </c>
      <c r="M42" s="168">
        <f>IFERROR((표1_5[[#This Row],[Block]]/표1_5[[#This Row],[시나리오 수]]),0)</f>
        <v>0</v>
      </c>
      <c r="N42" s="29"/>
    </row>
    <row r="43" spans="1:14" ht="13.5" outlineLevel="1">
      <c r="A43" s="28"/>
      <c r="B43" s="164" t="s">
        <v>48</v>
      </c>
      <c r="C43" s="165">
        <f>COUNTIF(TS_PW찾기[SYS],표1_5[[#This Row],[SYS]])</f>
        <v>24</v>
      </c>
      <c r="D43" s="165">
        <f>COUNTIFS('5_PW 찾기'!$F:$F,표1_5[[#This Row],[SYS]],'5_PW 찾기'!$N:$N,표1_5[[#Headers],[Pass]])</f>
        <v>0</v>
      </c>
      <c r="E43" s="165">
        <f>COUNTIFS('5_PW 찾기'!$F:$F,표1_5[[#This Row],[SYS]],'5_PW 찾기'!$N:$N,표1_5[[#Headers],[Fail]])</f>
        <v>0</v>
      </c>
      <c r="F43" s="165">
        <f>COUNTIFS('5_PW 찾기'!$F:$F,표1_5[[#This Row],[SYS]],'5_PW 찾기'!$N:$N,표1_5[[#Headers],[Block]])</f>
        <v>0</v>
      </c>
      <c r="G43" s="165">
        <f>COUNTIFS('5_PW 찾기'!$F:$F,표1_5[[#This Row],[SYS]],'5_PW 찾기'!$N:$N,표1_5[[#Headers],[N/A]])</f>
        <v>0</v>
      </c>
      <c r="H43" s="166">
        <f>SUM(표1_5[[#This Row],[Pass]:[N/A]])</f>
        <v>0</v>
      </c>
      <c r="I43" s="167">
        <f>IFERROR(표1_5[[#This Row],[Total]]/표1_5[[#This Row],[시나리오 수]],0)</f>
        <v>0</v>
      </c>
      <c r="J43" s="167">
        <f>IFERROR(SUM(표1_5[[#This Row],[Pass]:[Fail]])/(표1_5[[#This Row],[시나리오 수]]-표1_5[[#This Row],[N/A]]),0)</f>
        <v>0</v>
      </c>
      <c r="K43" s="167">
        <f>IFERROR(표1_5[[#This Row],[Pass]]/SUM(표1_5[[#This Row],[Pass]:[Fail]]),0)</f>
        <v>0</v>
      </c>
      <c r="L43" s="167">
        <f>IFERROR((표1_5[[#This Row],[Fail]]/SUM(표1_5[[#This Row],[Pass]:[Fail]])),0)</f>
        <v>0</v>
      </c>
      <c r="M43" s="168">
        <f>IFERROR((표1_5[[#This Row],[Block]]/표1_5[[#This Row],[시나리오 수]]),0)</f>
        <v>0</v>
      </c>
      <c r="N43" s="29"/>
    </row>
    <row r="44" spans="1:14" ht="13.5" outlineLevel="1">
      <c r="A44" s="28"/>
      <c r="B44" s="164" t="s">
        <v>49</v>
      </c>
      <c r="C44" s="165">
        <f>COUNTIF(TS_PW찾기[SYS],표1_5[[#This Row],[SYS]])</f>
        <v>0</v>
      </c>
      <c r="D44" s="165">
        <f>COUNTIFS('5_PW 찾기'!$F:$F,표1_5[[#This Row],[SYS]],'5_PW 찾기'!$N:$N,표1_5[[#Headers],[Pass]])</f>
        <v>0</v>
      </c>
      <c r="E44" s="165">
        <f>COUNTIFS('5_PW 찾기'!$F:$F,표1_5[[#This Row],[SYS]],'5_PW 찾기'!$N:$N,표1_5[[#Headers],[Fail]])</f>
        <v>0</v>
      </c>
      <c r="F44" s="165">
        <f>COUNTIFS('5_PW 찾기'!$F:$F,표1_5[[#This Row],[SYS]],'5_PW 찾기'!$N:$N,표1_5[[#Headers],[Block]])</f>
        <v>0</v>
      </c>
      <c r="G44" s="165">
        <f>COUNTIFS('5_PW 찾기'!$F:$F,표1_5[[#This Row],[SYS]],'5_PW 찾기'!$N:$N,표1_5[[#Headers],[N/A]])</f>
        <v>0</v>
      </c>
      <c r="H44" s="166">
        <f>SUM(표1_5[[#This Row],[Pass]:[N/A]])</f>
        <v>0</v>
      </c>
      <c r="I44" s="167">
        <f>IFERROR(표1_5[[#This Row],[Total]]/표1_5[[#This Row],[시나리오 수]],0)</f>
        <v>0</v>
      </c>
      <c r="J44" s="167">
        <f>IFERROR(SUM(표1_5[[#This Row],[Pass]:[Fail]])/(표1_5[[#This Row],[시나리오 수]]-표1_5[[#This Row],[N/A]]),0)</f>
        <v>0</v>
      </c>
      <c r="K44" s="167">
        <f>IFERROR(표1_5[[#This Row],[Pass]]/SUM(표1_5[[#This Row],[Pass]:[Fail]]),0)</f>
        <v>0</v>
      </c>
      <c r="L44" s="167">
        <f>IFERROR((표1_5[[#This Row],[Fail]]/SUM(표1_5[[#This Row],[Pass]:[Fail]])),0)</f>
        <v>0</v>
      </c>
      <c r="M44" s="168">
        <f>IFERROR((표1_5[[#This Row],[Block]]/표1_5[[#This Row],[시나리오 수]]),0)</f>
        <v>0</v>
      </c>
      <c r="N44" s="29"/>
    </row>
    <row r="45" spans="1:14" ht="13.5" outlineLevel="1">
      <c r="A45" s="28"/>
      <c r="B45" s="164" t="s">
        <v>50</v>
      </c>
      <c r="C45" s="165">
        <f>COUNTIF(TS_PW찾기[SYS],표1_5[[#This Row],[SYS]])</f>
        <v>0</v>
      </c>
      <c r="D45" s="165">
        <f>COUNTIFS('5_PW 찾기'!$F:$F,표1_5[[#This Row],[SYS]],'5_PW 찾기'!$N:$N,표1_5[[#Headers],[Pass]])</f>
        <v>0</v>
      </c>
      <c r="E45" s="165">
        <f>COUNTIFS('5_PW 찾기'!$F:$F,표1_5[[#This Row],[SYS]],'5_PW 찾기'!$N:$N,표1_5[[#Headers],[Fail]])</f>
        <v>0</v>
      </c>
      <c r="F45" s="165">
        <f>COUNTIFS('5_PW 찾기'!$F:$F,표1_5[[#This Row],[SYS]],'5_PW 찾기'!$N:$N,표1_5[[#Headers],[Block]])</f>
        <v>0</v>
      </c>
      <c r="G45" s="165">
        <f>COUNTIFS('5_PW 찾기'!$F:$F,표1_5[[#This Row],[SYS]],'5_PW 찾기'!$N:$N,표1_5[[#Headers],[N/A]])</f>
        <v>0</v>
      </c>
      <c r="H45" s="166">
        <f>SUM(표1_5[[#This Row],[Pass]:[N/A]])</f>
        <v>0</v>
      </c>
      <c r="I45" s="167">
        <f>IFERROR(표1_5[[#This Row],[Total]]/표1_5[[#This Row],[시나리오 수]],0)</f>
        <v>0</v>
      </c>
      <c r="J45" s="167">
        <f>IFERROR(SUM(표1_5[[#This Row],[Pass]:[Fail]])/(표1_5[[#This Row],[시나리오 수]]-표1_5[[#This Row],[N/A]]),0)</f>
        <v>0</v>
      </c>
      <c r="K45" s="167">
        <f>IFERROR(표1_5[[#This Row],[Pass]]/SUM(표1_5[[#This Row],[Pass]:[Fail]]),0)</f>
        <v>0</v>
      </c>
      <c r="L45" s="167">
        <f>IFERROR((표1_5[[#This Row],[Fail]]/SUM(표1_5[[#This Row],[Pass]:[Fail]])),0)</f>
        <v>0</v>
      </c>
      <c r="M45" s="168">
        <f>IFERROR((표1_5[[#This Row],[Block]]/표1_5[[#This Row],[시나리오 수]]),0)</f>
        <v>0</v>
      </c>
      <c r="N45" s="29"/>
    </row>
    <row r="46" spans="1:14" ht="13.5" outlineLevel="1">
      <c r="A46" s="28"/>
      <c r="B46" s="101" t="s">
        <v>42</v>
      </c>
      <c r="C46" s="170">
        <f t="shared" ref="C46:H46" si="8">SUM(C42:C45)</f>
        <v>48</v>
      </c>
      <c r="D46" s="170">
        <f t="shared" si="8"/>
        <v>0</v>
      </c>
      <c r="E46" s="170">
        <f t="shared" si="8"/>
        <v>0</v>
      </c>
      <c r="F46" s="170">
        <f t="shared" si="8"/>
        <v>0</v>
      </c>
      <c r="G46" s="170">
        <f t="shared" si="8"/>
        <v>0</v>
      </c>
      <c r="H46" s="170">
        <f t="shared" si="8"/>
        <v>0</v>
      </c>
      <c r="I46" s="171">
        <f>IFERROR(표1_5[[#This Row],[Total]]/표1_5[[#This Row],[시나리오 수]],0)</f>
        <v>0</v>
      </c>
      <c r="J46" s="171">
        <f>IFERROR(SUM(표1_5[[#This Row],[Pass]:[Fail]])/표1_5[[#This Row],[시나리오 수]],0)</f>
        <v>0</v>
      </c>
      <c r="K46" s="171">
        <f>IFERROR(표1_5[[#This Row],[Pass]]/SUM(표1_5[[#This Row],[Pass]:[Fail]]),0)</f>
        <v>0</v>
      </c>
      <c r="L46" s="171">
        <f>IFERROR((표1_5[[#This Row],[Fail]]/SUM(표1_5[[#This Row],[Pass]:[Fail]])),0)</f>
        <v>0</v>
      </c>
      <c r="M46" s="172">
        <f>IFERROR((표1_5[[#This Row],[Block]]/표1_5[[#This Row],[시나리오 수]]),0)</f>
        <v>0</v>
      </c>
      <c r="N46" s="29"/>
    </row>
    <row r="47" spans="1:14" ht="13.5" outlineLevel="1">
      <c r="B47" s="154"/>
      <c r="C47" s="155"/>
      <c r="D47" s="155"/>
      <c r="E47" s="155"/>
      <c r="F47" s="155"/>
      <c r="G47" s="155"/>
      <c r="H47" s="155"/>
      <c r="I47" s="156"/>
      <c r="J47" s="156"/>
      <c r="K47" s="156"/>
      <c r="L47" s="156"/>
      <c r="M47" s="156"/>
    </row>
    <row r="48" spans="1:14" ht="13.5" outlineLevel="1">
      <c r="B48" s="84" t="s">
        <v>800</v>
      </c>
      <c r="C48" s="84"/>
      <c r="D48" s="53"/>
      <c r="E48" s="50"/>
      <c r="F48" s="32"/>
      <c r="G48" s="32"/>
      <c r="H48" s="32"/>
      <c r="I48" s="32"/>
      <c r="J48" s="32"/>
      <c r="K48" s="32"/>
      <c r="L48" s="32"/>
      <c r="M48" s="32"/>
    </row>
    <row r="49" spans="1:14" outlineLevel="1">
      <c r="B49" s="54"/>
      <c r="C49" s="54"/>
      <c r="D49" s="50"/>
      <c r="E49" s="50"/>
      <c r="F49" s="32"/>
      <c r="G49" s="32"/>
      <c r="H49" s="32"/>
      <c r="I49" s="32"/>
      <c r="J49" s="32"/>
      <c r="K49" s="32"/>
      <c r="L49" s="32"/>
      <c r="M49" s="32"/>
    </row>
    <row r="50" spans="1:14" outlineLevel="1">
      <c r="A50" s="28"/>
      <c r="B50" s="161" t="s">
        <v>25</v>
      </c>
      <c r="C50" s="162" t="s">
        <v>20</v>
      </c>
      <c r="D50" s="162" t="s">
        <v>21</v>
      </c>
      <c r="E50" s="162" t="s">
        <v>22</v>
      </c>
      <c r="F50" s="162" t="s">
        <v>24</v>
      </c>
      <c r="G50" s="162" t="s">
        <v>23</v>
      </c>
      <c r="H50" s="162" t="s">
        <v>42</v>
      </c>
      <c r="I50" s="162" t="s">
        <v>43</v>
      </c>
      <c r="J50" s="162" t="s">
        <v>44</v>
      </c>
      <c r="K50" s="162" t="s">
        <v>45</v>
      </c>
      <c r="L50" s="162" t="s">
        <v>46</v>
      </c>
      <c r="M50" s="163" t="s">
        <v>47</v>
      </c>
      <c r="N50" s="29"/>
    </row>
    <row r="51" spans="1:14" ht="13.5" outlineLevel="1">
      <c r="A51" s="28"/>
      <c r="B51" s="164" t="s">
        <v>59</v>
      </c>
      <c r="C51" s="165">
        <f>COUNTIF(TS_임직원인증[SYS],표1_6[[#This Row],[SYS]])</f>
        <v>8</v>
      </c>
      <c r="D51" s="165">
        <f>COUNTIFS('6_임직원 인증'!$F:$F,표1_6[[#This Row],[SYS]],'6_임직원 인증'!$N:$N,표1_6[[#Headers],[Pass]])</f>
        <v>0</v>
      </c>
      <c r="E51" s="165">
        <f>COUNTIFS('6_임직원 인증'!$F:$F,표1_6[[#This Row],[SYS]],'6_임직원 인증'!$N:$N,표1_6[[#Headers],[Fail]])</f>
        <v>0</v>
      </c>
      <c r="F51" s="165">
        <f>COUNTIFS('6_임직원 인증'!$F:$F,표1_6[[#This Row],[SYS]],'6_임직원 인증'!$N:$N,표1_6[[#Headers],[Block]])</f>
        <v>0</v>
      </c>
      <c r="G51" s="165">
        <f>COUNTIFS('6_임직원 인증'!$F:$F,표1_6[[#This Row],[SYS]],'6_임직원 인증'!$N:$N,표1_6[[#Headers],[N/A]])</f>
        <v>0</v>
      </c>
      <c r="H51" s="166">
        <f>SUM(표1_6[[#This Row],[Pass]:[N/A]])</f>
        <v>0</v>
      </c>
      <c r="I51" s="167">
        <f>IFERROR(표1_6[[#This Row],[Total]]/표1_6[[#This Row],[시나리오 수]],0)</f>
        <v>0</v>
      </c>
      <c r="J51" s="167">
        <f>IFERROR(SUM(표1_6[[#This Row],[Pass]:[Fail]])/(표1_6[[#This Row],[시나리오 수]]-표1_6[[#This Row],[N/A]]),0)</f>
        <v>0</v>
      </c>
      <c r="K51" s="167">
        <f>IFERROR(표1_6[[#This Row],[Pass]]/SUM(표1_6[[#This Row],[Pass]:[Fail]]),0)</f>
        <v>0</v>
      </c>
      <c r="L51" s="167">
        <f>IFERROR((표1_6[[#This Row],[Fail]]/SUM(표1_6[[#This Row],[Pass]:[Fail]])),0)</f>
        <v>0</v>
      </c>
      <c r="M51" s="168">
        <f>IFERROR((표1_6[[#This Row],[Block]]/표1_6[[#This Row],[시나리오 수]]),0)</f>
        <v>0</v>
      </c>
      <c r="N51" s="29"/>
    </row>
    <row r="52" spans="1:14" ht="13.5" outlineLevel="1">
      <c r="A52" s="28"/>
      <c r="B52" s="164" t="s">
        <v>48</v>
      </c>
      <c r="C52" s="165">
        <f>COUNTIF(TS_임직원인증[SYS],표1_6[[#This Row],[SYS]])</f>
        <v>8</v>
      </c>
      <c r="D52" s="165">
        <f>COUNTIFS('6_임직원 인증'!$F:$F,표1_6[[#This Row],[SYS]],'6_임직원 인증'!$N:$N,표1_6[[#Headers],[Pass]])</f>
        <v>0</v>
      </c>
      <c r="E52" s="165">
        <f>COUNTIFS('6_임직원 인증'!$F:$F,표1_6[[#This Row],[SYS]],'6_임직원 인증'!$N:$N,표1_6[[#Headers],[Fail]])</f>
        <v>0</v>
      </c>
      <c r="F52" s="165">
        <f>COUNTIFS('6_임직원 인증'!$F:$F,표1_6[[#This Row],[SYS]],'6_임직원 인증'!$N:$N,표1_6[[#Headers],[Block]])</f>
        <v>0</v>
      </c>
      <c r="G52" s="165">
        <f>COUNTIFS('6_임직원 인증'!$F:$F,표1_6[[#This Row],[SYS]],'6_임직원 인증'!$N:$N,표1_6[[#Headers],[N/A]])</f>
        <v>0</v>
      </c>
      <c r="H52" s="166">
        <f>SUM(표1_6[[#This Row],[Pass]:[N/A]])</f>
        <v>0</v>
      </c>
      <c r="I52" s="167">
        <f>IFERROR(표1_6[[#This Row],[Total]]/표1_6[[#This Row],[시나리오 수]],0)</f>
        <v>0</v>
      </c>
      <c r="J52" s="167">
        <f>IFERROR(SUM(표1_6[[#This Row],[Pass]:[Fail]])/(표1_6[[#This Row],[시나리오 수]]-표1_6[[#This Row],[N/A]]),0)</f>
        <v>0</v>
      </c>
      <c r="K52" s="167">
        <f>IFERROR(표1_6[[#This Row],[Pass]]/SUM(표1_6[[#This Row],[Pass]:[Fail]]),0)</f>
        <v>0</v>
      </c>
      <c r="L52" s="167">
        <f>IFERROR((표1_6[[#This Row],[Fail]]/SUM(표1_6[[#This Row],[Pass]:[Fail]])),0)</f>
        <v>0</v>
      </c>
      <c r="M52" s="168">
        <f>IFERROR((표1_6[[#This Row],[Block]]/표1_6[[#This Row],[시나리오 수]]),0)</f>
        <v>0</v>
      </c>
      <c r="N52" s="29"/>
    </row>
    <row r="53" spans="1:14" ht="13.5" outlineLevel="1">
      <c r="A53" s="28"/>
      <c r="B53" s="164" t="s">
        <v>49</v>
      </c>
      <c r="C53" s="165">
        <f>COUNTIF(TS_임직원인증[SYS],표1_6[[#This Row],[SYS]])</f>
        <v>12</v>
      </c>
      <c r="D53" s="165">
        <f>COUNTIFS('6_임직원 인증'!$F:$F,표1_6[[#This Row],[SYS]],'6_임직원 인증'!$N:$N,표1_6[[#Headers],[Pass]])</f>
        <v>0</v>
      </c>
      <c r="E53" s="165">
        <f>COUNTIFS('6_임직원 인증'!$F:$F,표1_6[[#This Row],[SYS]],'6_임직원 인증'!$N:$N,표1_6[[#Headers],[Fail]])</f>
        <v>0</v>
      </c>
      <c r="F53" s="165">
        <f>COUNTIFS('6_임직원 인증'!$F:$F,표1_6[[#This Row],[SYS]],'6_임직원 인증'!$N:$N,표1_6[[#Headers],[Block]])</f>
        <v>0</v>
      </c>
      <c r="G53" s="165">
        <f>COUNTIFS('6_임직원 인증'!$F:$F,표1_6[[#This Row],[SYS]],'6_임직원 인증'!$N:$N,표1_6[[#Headers],[N/A]])</f>
        <v>0</v>
      </c>
      <c r="H53" s="166">
        <f>SUM(표1_6[[#This Row],[Pass]:[N/A]])</f>
        <v>0</v>
      </c>
      <c r="I53" s="167">
        <f>IFERROR(표1_6[[#This Row],[Total]]/표1_6[[#This Row],[시나리오 수]],0)</f>
        <v>0</v>
      </c>
      <c r="J53" s="167">
        <f>IFERROR(SUM(표1_6[[#This Row],[Pass]:[Fail]])/(표1_6[[#This Row],[시나리오 수]]-표1_6[[#This Row],[N/A]]),0)</f>
        <v>0</v>
      </c>
      <c r="K53" s="167">
        <f>IFERROR(표1_6[[#This Row],[Pass]]/SUM(표1_6[[#This Row],[Pass]:[Fail]]),0)</f>
        <v>0</v>
      </c>
      <c r="L53" s="167">
        <f>IFERROR((표1_6[[#This Row],[Fail]]/SUM(표1_6[[#This Row],[Pass]:[Fail]])),0)</f>
        <v>0</v>
      </c>
      <c r="M53" s="168">
        <f>IFERROR((표1_6[[#This Row],[Block]]/표1_6[[#This Row],[시나리오 수]]),0)</f>
        <v>0</v>
      </c>
      <c r="N53" s="29"/>
    </row>
    <row r="54" spans="1:14" ht="13.5" outlineLevel="1">
      <c r="A54" s="28"/>
      <c r="B54" s="164" t="s">
        <v>50</v>
      </c>
      <c r="C54" s="165">
        <f>COUNTIF(TS_임직원인증[SYS],표1_6[[#This Row],[SYS]])</f>
        <v>0</v>
      </c>
      <c r="D54" s="165">
        <f>COUNTIFS('6_임직원 인증'!$F:$F,표1_6[[#This Row],[SYS]],'6_임직원 인증'!$N:$N,표1_6[[#Headers],[Pass]])</f>
        <v>0</v>
      </c>
      <c r="E54" s="165">
        <f>COUNTIFS('6_임직원 인증'!$F:$F,표1_6[[#This Row],[SYS]],'6_임직원 인증'!$N:$N,표1_6[[#Headers],[Fail]])</f>
        <v>0</v>
      </c>
      <c r="F54" s="165">
        <f>COUNTIFS('6_임직원 인증'!$F:$F,표1_6[[#This Row],[SYS]],'6_임직원 인증'!$N:$N,표1_6[[#Headers],[Block]])</f>
        <v>0</v>
      </c>
      <c r="G54" s="165">
        <f>COUNTIFS('6_임직원 인증'!$F:$F,표1_6[[#This Row],[SYS]],'6_임직원 인증'!$N:$N,표1_6[[#Headers],[N/A]])</f>
        <v>0</v>
      </c>
      <c r="H54" s="166">
        <f>SUM(표1_6[[#This Row],[Pass]:[N/A]])</f>
        <v>0</v>
      </c>
      <c r="I54" s="167">
        <f>IFERROR(표1_6[[#This Row],[Total]]/표1_6[[#This Row],[시나리오 수]],0)</f>
        <v>0</v>
      </c>
      <c r="J54" s="167">
        <f>IFERROR(SUM(표1_6[[#This Row],[Pass]:[Fail]])/(표1_6[[#This Row],[시나리오 수]]-표1_6[[#This Row],[N/A]]),0)</f>
        <v>0</v>
      </c>
      <c r="K54" s="167">
        <f>IFERROR(표1_6[[#This Row],[Pass]]/SUM(표1_6[[#This Row],[Pass]:[Fail]]),0)</f>
        <v>0</v>
      </c>
      <c r="L54" s="167">
        <f>IFERROR((표1_6[[#This Row],[Fail]]/SUM(표1_6[[#This Row],[Pass]:[Fail]])),0)</f>
        <v>0</v>
      </c>
      <c r="M54" s="168">
        <f>IFERROR((표1_6[[#This Row],[Block]]/표1_6[[#This Row],[시나리오 수]]),0)</f>
        <v>0</v>
      </c>
      <c r="N54" s="29"/>
    </row>
    <row r="55" spans="1:14" ht="13.5" outlineLevel="1">
      <c r="A55" s="28"/>
      <c r="B55" s="101" t="s">
        <v>42</v>
      </c>
      <c r="C55" s="170">
        <f t="shared" ref="C55:H55" si="9">SUM(C51:C54)</f>
        <v>28</v>
      </c>
      <c r="D55" s="170">
        <f t="shared" si="9"/>
        <v>0</v>
      </c>
      <c r="E55" s="170">
        <f t="shared" si="9"/>
        <v>0</v>
      </c>
      <c r="F55" s="170">
        <f t="shared" si="9"/>
        <v>0</v>
      </c>
      <c r="G55" s="170">
        <f t="shared" si="9"/>
        <v>0</v>
      </c>
      <c r="H55" s="170">
        <f t="shared" si="9"/>
        <v>0</v>
      </c>
      <c r="I55" s="171">
        <f>IFERROR(표1_6[[#This Row],[Total]]/표1_6[[#This Row],[시나리오 수]],0)</f>
        <v>0</v>
      </c>
      <c r="J55" s="171">
        <f>IFERROR(SUM(표1_6[[#This Row],[Pass]:[Fail]])/표1_6[[#This Row],[시나리오 수]],0)</f>
        <v>0</v>
      </c>
      <c r="K55" s="171">
        <f>IFERROR(표1_6[[#This Row],[Pass]]/SUM(표1_6[[#This Row],[Pass]:[Fail]]),0)</f>
        <v>0</v>
      </c>
      <c r="L55" s="171">
        <f>IFERROR((표1_6[[#This Row],[Fail]]/SUM(표1_6[[#This Row],[Pass]:[Fail]])),0)</f>
        <v>0</v>
      </c>
      <c r="M55" s="172">
        <f>IFERROR((표1_6[[#This Row],[Block]]/표1_6[[#This Row],[시나리오 수]]),0)</f>
        <v>0</v>
      </c>
      <c r="N55" s="29"/>
    </row>
    <row r="56" spans="1:14" ht="13.5" outlineLevel="1">
      <c r="B56" s="154"/>
      <c r="C56" s="155"/>
      <c r="D56" s="155"/>
      <c r="E56" s="155"/>
      <c r="F56" s="155"/>
      <c r="G56" s="155"/>
      <c r="H56" s="155"/>
      <c r="I56" s="156"/>
      <c r="J56" s="156"/>
      <c r="K56" s="156"/>
      <c r="L56" s="156"/>
      <c r="M56" s="156"/>
    </row>
    <row r="57" spans="1:14" ht="13.5" outlineLevel="1">
      <c r="B57" s="84" t="s">
        <v>801</v>
      </c>
      <c r="C57" s="84"/>
      <c r="D57" s="53"/>
      <c r="E57" s="50"/>
      <c r="F57" s="32"/>
      <c r="G57" s="32"/>
      <c r="H57" s="32"/>
      <c r="I57" s="32"/>
      <c r="J57" s="32"/>
      <c r="K57" s="32"/>
      <c r="L57" s="32"/>
      <c r="M57" s="32"/>
    </row>
    <row r="58" spans="1:14" outlineLevel="1">
      <c r="B58" s="54"/>
      <c r="C58" s="54"/>
      <c r="D58" s="50"/>
      <c r="E58" s="50"/>
      <c r="F58" s="32"/>
      <c r="G58" s="32"/>
      <c r="H58" s="32"/>
      <c r="I58" s="32"/>
      <c r="J58" s="32"/>
      <c r="K58" s="32"/>
      <c r="L58" s="32"/>
      <c r="M58" s="32"/>
    </row>
    <row r="59" spans="1:14" outlineLevel="1">
      <c r="A59" s="28"/>
      <c r="B59" s="161" t="s">
        <v>25</v>
      </c>
      <c r="C59" s="162" t="s">
        <v>20</v>
      </c>
      <c r="D59" s="162" t="s">
        <v>21</v>
      </c>
      <c r="E59" s="162" t="s">
        <v>22</v>
      </c>
      <c r="F59" s="162" t="s">
        <v>24</v>
      </c>
      <c r="G59" s="162" t="s">
        <v>23</v>
      </c>
      <c r="H59" s="162" t="s">
        <v>42</v>
      </c>
      <c r="I59" s="162" t="s">
        <v>43</v>
      </c>
      <c r="J59" s="162" t="s">
        <v>44</v>
      </c>
      <c r="K59" s="162" t="s">
        <v>45</v>
      </c>
      <c r="L59" s="162" t="s">
        <v>46</v>
      </c>
      <c r="M59" s="163" t="s">
        <v>47</v>
      </c>
      <c r="N59" s="29"/>
    </row>
    <row r="60" spans="1:14" ht="13.5" outlineLevel="1">
      <c r="A60" s="28"/>
      <c r="B60" s="164" t="s">
        <v>59</v>
      </c>
      <c r="C60" s="165">
        <f>COUNTIF(TS_회원탈퇴[SYS],표1_7[[#This Row],[SYS]])</f>
        <v>20</v>
      </c>
      <c r="D60" s="165">
        <f>COUNTIFS('7_회원 탈퇴'!$F:$F,표1_7[[#This Row],[SYS]],'7_회원 탈퇴'!$N:$N,표1_7[[#Headers],[Pass]])</f>
        <v>0</v>
      </c>
      <c r="E60" s="165">
        <f>COUNTIFS('7_회원 탈퇴'!$F:$F,표1_7[[#This Row],[SYS]],'7_회원 탈퇴'!$N:$N,표1_7[[#Headers],[Fail]])</f>
        <v>0</v>
      </c>
      <c r="F60" s="165">
        <f>COUNTIFS('7_회원 탈퇴'!$F:$F,표1_7[[#This Row],[SYS]],'7_회원 탈퇴'!$N:$N,표1_7[[#Headers],[Block]])</f>
        <v>0</v>
      </c>
      <c r="G60" s="165">
        <f>COUNTIFS('7_회원 탈퇴'!$F:$F,표1_7[[#This Row],[SYS]],'7_회원 탈퇴'!$N:$N,표1_7[[#Headers],[N/A]])</f>
        <v>0</v>
      </c>
      <c r="H60" s="166">
        <f>SUM(표1_7[[#This Row],[Pass]:[N/A]])</f>
        <v>0</v>
      </c>
      <c r="I60" s="167">
        <f>IFERROR(표1_7[[#This Row],[Total]]/표1_7[[#This Row],[시나리오 수]],0)</f>
        <v>0</v>
      </c>
      <c r="J60" s="167">
        <f>IFERROR(SUM(표1_7[[#This Row],[Pass]:[Fail]])/(표1_7[[#This Row],[시나리오 수]]-표1_7[[#This Row],[N/A]]),0)</f>
        <v>0</v>
      </c>
      <c r="K60" s="167">
        <f>IFERROR(표1_7[[#This Row],[Pass]]/SUM(표1_7[[#This Row],[Pass]:[Fail]]),0)</f>
        <v>0</v>
      </c>
      <c r="L60" s="167">
        <f>IFERROR((표1_7[[#This Row],[Fail]]/SUM(표1_7[[#This Row],[Pass]:[Fail]])),0)</f>
        <v>0</v>
      </c>
      <c r="M60" s="168">
        <f>IFERROR((표1_7[[#This Row],[Block]]/표1_7[[#This Row],[시나리오 수]]),0)</f>
        <v>0</v>
      </c>
      <c r="N60" s="29"/>
    </row>
    <row r="61" spans="1:14" ht="13.5" outlineLevel="1">
      <c r="A61" s="28"/>
      <c r="B61" s="164" t="s">
        <v>48</v>
      </c>
      <c r="C61" s="165">
        <f>COUNTIF(TS_회원탈퇴[SYS],표1_7[[#This Row],[SYS]])</f>
        <v>20</v>
      </c>
      <c r="D61" s="165">
        <f>COUNTIFS('7_회원 탈퇴'!$F:$F,표1_7[[#This Row],[SYS]],'7_회원 탈퇴'!$N:$N,표1_7[[#Headers],[Pass]])</f>
        <v>0</v>
      </c>
      <c r="E61" s="165">
        <f>COUNTIFS('7_회원 탈퇴'!$F:$F,표1_7[[#This Row],[SYS]],'7_회원 탈퇴'!$N:$N,표1_7[[#Headers],[Fail]])</f>
        <v>0</v>
      </c>
      <c r="F61" s="165">
        <f>COUNTIFS('7_회원 탈퇴'!$F:$F,표1_7[[#This Row],[SYS]],'7_회원 탈퇴'!$N:$N,표1_7[[#Headers],[Block]])</f>
        <v>0</v>
      </c>
      <c r="G61" s="165">
        <f>COUNTIFS('7_회원 탈퇴'!$F:$F,표1_7[[#This Row],[SYS]],'7_회원 탈퇴'!$N:$N,표1_7[[#Headers],[N/A]])</f>
        <v>0</v>
      </c>
      <c r="H61" s="166">
        <f>SUM(표1_7[[#This Row],[Pass]:[N/A]])</f>
        <v>0</v>
      </c>
      <c r="I61" s="167">
        <f>IFERROR(표1_7[[#This Row],[Total]]/표1_7[[#This Row],[시나리오 수]],0)</f>
        <v>0</v>
      </c>
      <c r="J61" s="167">
        <f>IFERROR(SUM(표1_7[[#This Row],[Pass]:[Fail]])/(표1_7[[#This Row],[시나리오 수]]-표1_7[[#This Row],[N/A]]),0)</f>
        <v>0</v>
      </c>
      <c r="K61" s="167">
        <f>IFERROR(표1_7[[#This Row],[Pass]]/SUM(표1_7[[#This Row],[Pass]:[Fail]]),0)</f>
        <v>0</v>
      </c>
      <c r="L61" s="167">
        <f>IFERROR((표1_7[[#This Row],[Fail]]/SUM(표1_7[[#This Row],[Pass]:[Fail]])),0)</f>
        <v>0</v>
      </c>
      <c r="M61" s="168">
        <f>IFERROR((표1_7[[#This Row],[Block]]/표1_7[[#This Row],[시나리오 수]]),0)</f>
        <v>0</v>
      </c>
      <c r="N61" s="29"/>
    </row>
    <row r="62" spans="1:14" ht="13.5" outlineLevel="1">
      <c r="A62" s="28"/>
      <c r="B62" s="164" t="s">
        <v>49</v>
      </c>
      <c r="C62" s="165">
        <f>COUNTIF(TS_회원탈퇴[SYS],표1_7[[#This Row],[SYS]])</f>
        <v>23</v>
      </c>
      <c r="D62" s="165">
        <f>COUNTIFS('7_회원 탈퇴'!$F:$F,표1_7[[#This Row],[SYS]],'7_회원 탈퇴'!$N:$N,표1_7[[#Headers],[Pass]])</f>
        <v>0</v>
      </c>
      <c r="E62" s="165">
        <f>COUNTIFS('7_회원 탈퇴'!$F:$F,표1_7[[#This Row],[SYS]],'7_회원 탈퇴'!$N:$N,표1_7[[#Headers],[Fail]])</f>
        <v>0</v>
      </c>
      <c r="F62" s="165">
        <f>COUNTIFS('7_회원 탈퇴'!$F:$F,표1_7[[#This Row],[SYS]],'7_회원 탈퇴'!$N:$N,표1_7[[#Headers],[Block]])</f>
        <v>0</v>
      </c>
      <c r="G62" s="165">
        <f>COUNTIFS('7_회원 탈퇴'!$F:$F,표1_7[[#This Row],[SYS]],'7_회원 탈퇴'!$N:$N,표1_7[[#Headers],[N/A]])</f>
        <v>0</v>
      </c>
      <c r="H62" s="166">
        <f>SUM(표1_7[[#This Row],[Pass]:[N/A]])</f>
        <v>0</v>
      </c>
      <c r="I62" s="167">
        <f>IFERROR(표1_7[[#This Row],[Total]]/표1_7[[#This Row],[시나리오 수]],0)</f>
        <v>0</v>
      </c>
      <c r="J62" s="167">
        <f>IFERROR(SUM(표1_7[[#This Row],[Pass]:[Fail]])/(표1_7[[#This Row],[시나리오 수]]-표1_7[[#This Row],[N/A]]),0)</f>
        <v>0</v>
      </c>
      <c r="K62" s="167">
        <f>IFERROR(표1_7[[#This Row],[Pass]]/SUM(표1_7[[#This Row],[Pass]:[Fail]]),0)</f>
        <v>0</v>
      </c>
      <c r="L62" s="167">
        <f>IFERROR((표1_7[[#This Row],[Fail]]/SUM(표1_7[[#This Row],[Pass]:[Fail]])),0)</f>
        <v>0</v>
      </c>
      <c r="M62" s="168">
        <f>IFERROR((표1_7[[#This Row],[Block]]/표1_7[[#This Row],[시나리오 수]]),0)</f>
        <v>0</v>
      </c>
      <c r="N62" s="29"/>
    </row>
    <row r="63" spans="1:14" ht="13.5" outlineLevel="1">
      <c r="A63" s="28"/>
      <c r="B63" s="164" t="s">
        <v>50</v>
      </c>
      <c r="C63" s="165">
        <f>COUNTIF(TS_회원탈퇴[SYS],표1_7[[#This Row],[SYS]])</f>
        <v>0</v>
      </c>
      <c r="D63" s="165">
        <f>COUNTIFS('7_회원 탈퇴'!$F:$F,표1_7[[#This Row],[SYS]],'7_회원 탈퇴'!$N:$N,표1_7[[#Headers],[Pass]])</f>
        <v>0</v>
      </c>
      <c r="E63" s="165">
        <f>COUNTIFS('7_회원 탈퇴'!$F:$F,표1_7[[#This Row],[SYS]],'7_회원 탈퇴'!$N:$N,표1_7[[#Headers],[Fail]])</f>
        <v>0</v>
      </c>
      <c r="F63" s="165">
        <f>COUNTIFS('7_회원 탈퇴'!$F:$F,표1_7[[#This Row],[SYS]],'7_회원 탈퇴'!$N:$N,표1_7[[#Headers],[Block]])</f>
        <v>0</v>
      </c>
      <c r="G63" s="165">
        <f>COUNTIFS('7_회원 탈퇴'!$F:$F,표1_7[[#This Row],[SYS]],'7_회원 탈퇴'!$N:$N,표1_7[[#Headers],[N/A]])</f>
        <v>0</v>
      </c>
      <c r="H63" s="166">
        <f>SUM(표1_7[[#This Row],[Pass]:[N/A]])</f>
        <v>0</v>
      </c>
      <c r="I63" s="167">
        <f>IFERROR(표1_7[[#This Row],[Total]]/표1_7[[#This Row],[시나리오 수]],0)</f>
        <v>0</v>
      </c>
      <c r="J63" s="167">
        <f>IFERROR(SUM(표1_7[[#This Row],[Pass]:[Fail]])/(표1_7[[#This Row],[시나리오 수]]-표1_7[[#This Row],[N/A]]),0)</f>
        <v>0</v>
      </c>
      <c r="K63" s="167">
        <f>IFERROR(표1_7[[#This Row],[Pass]]/SUM(표1_7[[#This Row],[Pass]:[Fail]]),0)</f>
        <v>0</v>
      </c>
      <c r="L63" s="167">
        <f>IFERROR((표1_7[[#This Row],[Fail]]/SUM(표1_7[[#This Row],[Pass]:[Fail]])),0)</f>
        <v>0</v>
      </c>
      <c r="M63" s="168">
        <f>IFERROR((표1_7[[#This Row],[Block]]/표1_7[[#This Row],[시나리오 수]]),0)</f>
        <v>0</v>
      </c>
      <c r="N63" s="29"/>
    </row>
    <row r="64" spans="1:14" ht="13.5" outlineLevel="1">
      <c r="A64" s="28"/>
      <c r="B64" s="101" t="s">
        <v>42</v>
      </c>
      <c r="C64" s="170">
        <f t="shared" ref="C64:H64" si="10">SUM(C60:C63)</f>
        <v>63</v>
      </c>
      <c r="D64" s="170">
        <f t="shared" si="10"/>
        <v>0</v>
      </c>
      <c r="E64" s="170">
        <f t="shared" si="10"/>
        <v>0</v>
      </c>
      <c r="F64" s="170">
        <f t="shared" si="10"/>
        <v>0</v>
      </c>
      <c r="G64" s="170">
        <f t="shared" si="10"/>
        <v>0</v>
      </c>
      <c r="H64" s="170">
        <f t="shared" si="10"/>
        <v>0</v>
      </c>
      <c r="I64" s="171">
        <f>IFERROR(표1_7[[#This Row],[Total]]/표1_7[[#This Row],[시나리오 수]],0)</f>
        <v>0</v>
      </c>
      <c r="J64" s="171">
        <f>IFERROR(SUM(표1_7[[#This Row],[Pass]:[Fail]])/표1_7[[#This Row],[시나리오 수]],0)</f>
        <v>0</v>
      </c>
      <c r="K64" s="171">
        <f>IFERROR(표1_7[[#This Row],[Pass]]/SUM(표1_7[[#This Row],[Pass]:[Fail]]),0)</f>
        <v>0</v>
      </c>
      <c r="L64" s="171">
        <f>IFERROR((표1_7[[#This Row],[Fail]]/SUM(표1_7[[#This Row],[Pass]:[Fail]])),0)</f>
        <v>0</v>
      </c>
      <c r="M64" s="172">
        <f>IFERROR((표1_7[[#This Row],[Block]]/표1_7[[#This Row],[시나리오 수]]),0)</f>
        <v>0</v>
      </c>
      <c r="N64" s="29"/>
    </row>
    <row r="65" spans="1:14" s="34" customFormat="1" ht="13.5" outlineLevel="1">
      <c r="B65" s="154"/>
      <c r="C65" s="155"/>
      <c r="D65" s="155"/>
      <c r="E65" s="155"/>
      <c r="F65" s="155"/>
      <c r="G65" s="155"/>
      <c r="H65" s="155"/>
      <c r="I65" s="156"/>
      <c r="J65" s="156"/>
      <c r="K65" s="156"/>
      <c r="L65" s="156"/>
      <c r="M65" s="156"/>
    </row>
    <row r="66" spans="1:14" s="34" customFormat="1" ht="13.5" outlineLevel="1">
      <c r="B66" s="157"/>
      <c r="C66" s="158"/>
      <c r="D66" s="158"/>
      <c r="E66" s="158"/>
      <c r="F66" s="158"/>
      <c r="G66" s="158"/>
      <c r="H66" s="158"/>
      <c r="I66" s="159"/>
      <c r="J66" s="159"/>
      <c r="K66" s="159"/>
      <c r="L66" s="159"/>
      <c r="M66" s="159"/>
    </row>
    <row r="67" spans="1:14" s="34" customFormat="1" ht="13.5" outlineLevel="1">
      <c r="B67" s="157"/>
      <c r="C67" s="158"/>
      <c r="D67" s="158"/>
      <c r="E67" s="158"/>
      <c r="F67" s="158"/>
      <c r="G67" s="158"/>
      <c r="H67" s="158"/>
      <c r="I67" s="159"/>
      <c r="J67" s="159"/>
      <c r="K67" s="159"/>
      <c r="L67" s="159"/>
      <c r="M67" s="159"/>
    </row>
    <row r="68" spans="1:14" outlineLevel="1"/>
    <row r="69" spans="1:14">
      <c r="B69" s="85" t="s">
        <v>52</v>
      </c>
      <c r="C69" s="85"/>
      <c r="D69" s="24"/>
      <c r="E69" s="24"/>
    </row>
    <row r="70" spans="1:14">
      <c r="B70" s="31"/>
      <c r="C70" s="31"/>
      <c r="D70" s="50"/>
      <c r="E70" s="50"/>
      <c r="F70" s="32"/>
      <c r="G70" s="32"/>
      <c r="H70" s="32"/>
      <c r="I70" s="32"/>
      <c r="J70" s="32"/>
      <c r="K70" s="32"/>
      <c r="L70" s="32"/>
      <c r="M70" s="32"/>
    </row>
    <row r="71" spans="1:14">
      <c r="A71" s="28"/>
      <c r="B71" s="161" t="s">
        <v>53</v>
      </c>
      <c r="C71" s="162" t="s">
        <v>20</v>
      </c>
      <c r="D71" s="162" t="s">
        <v>21</v>
      </c>
      <c r="E71" s="162" t="s">
        <v>22</v>
      </c>
      <c r="F71" s="162" t="s">
        <v>24</v>
      </c>
      <c r="G71" s="162" t="s">
        <v>23</v>
      </c>
      <c r="H71" s="162" t="s">
        <v>42</v>
      </c>
      <c r="I71" s="162" t="s">
        <v>43</v>
      </c>
      <c r="J71" s="162" t="s">
        <v>44</v>
      </c>
      <c r="K71" s="162" t="s">
        <v>45</v>
      </c>
      <c r="L71" s="162" t="s">
        <v>46</v>
      </c>
      <c r="M71" s="163" t="s">
        <v>47</v>
      </c>
      <c r="N71" s="29"/>
    </row>
    <row r="72" spans="1:14" ht="13.5">
      <c r="A72" s="28"/>
      <c r="B72" s="164" t="s">
        <v>51</v>
      </c>
      <c r="C72" s="165">
        <f>C10</f>
        <v>70</v>
      </c>
      <c r="D72" s="165">
        <f t="shared" ref="D72:G72" si="11">D10</f>
        <v>0</v>
      </c>
      <c r="E72" s="165">
        <f t="shared" ref="E72:G72" si="12">E10</f>
        <v>0</v>
      </c>
      <c r="F72" s="165">
        <f t="shared" si="12"/>
        <v>0</v>
      </c>
      <c r="G72" s="165">
        <f t="shared" si="12"/>
        <v>0</v>
      </c>
      <c r="H72" s="166">
        <f>SUM(Result_sheet[[#This Row],[Pass]:[N/A]])</f>
        <v>0</v>
      </c>
      <c r="I72" s="167">
        <f>IFERROR(Result_sheet[[#This Row],[Total]]/Result_sheet[[#This Row],[시나리오 수]],0)</f>
        <v>0</v>
      </c>
      <c r="J72" s="167">
        <f>IFERROR(SUM(Result_sheet[[#This Row],[Pass]:[Fail]])/(Result_sheet[[#This Row],[시나리오 수]]-Result_sheet[[#This Row],[N/A]]),0)</f>
        <v>0</v>
      </c>
      <c r="K72" s="167">
        <f>IFERROR(Result_sheet[[#This Row],[Pass]]/SUM(Result_sheet[[#This Row],[Pass]:[Fail]]),0)</f>
        <v>0</v>
      </c>
      <c r="L72" s="167">
        <f>IFERROR((Result_sheet[[#This Row],[Fail]]/SUM(Result_sheet[[#This Row],[Pass]:[Fail]])),0)</f>
        <v>0</v>
      </c>
      <c r="M72" s="168">
        <f>IFERROR((Result_sheet[[#This Row],[Block]]/Result_sheet[[#This Row],[시나리오 수]]),0)</f>
        <v>0</v>
      </c>
      <c r="N72" s="29"/>
    </row>
    <row r="73" spans="1:14" ht="13.5">
      <c r="A73" s="28"/>
      <c r="B73" s="164" t="s">
        <v>802</v>
      </c>
      <c r="C73" s="165">
        <f>C19</f>
        <v>80</v>
      </c>
      <c r="D73" s="165">
        <f t="shared" ref="D73:G73" si="13">D19</f>
        <v>0</v>
      </c>
      <c r="E73" s="165">
        <f t="shared" ref="E73:G73" si="14">E19</f>
        <v>0</v>
      </c>
      <c r="F73" s="165">
        <f t="shared" si="14"/>
        <v>0</v>
      </c>
      <c r="G73" s="165">
        <f t="shared" si="14"/>
        <v>0</v>
      </c>
      <c r="H73" s="166">
        <f>SUM(Result_sheet[[#This Row],[Pass]:[N/A]])</f>
        <v>0</v>
      </c>
      <c r="I73" s="167">
        <f>IFERROR(Result_sheet[[#This Row],[Total]]/Result_sheet[[#This Row],[시나리오 수]],0)</f>
        <v>0</v>
      </c>
      <c r="J73" s="167">
        <f>IFERROR(SUM(Result_sheet[[#This Row],[Pass]:[Fail]])/(Result_sheet[[#This Row],[시나리오 수]]-Result_sheet[[#This Row],[N/A]]),0)</f>
        <v>0</v>
      </c>
      <c r="K73" s="167">
        <f>IFERROR(Result_sheet[[#This Row],[Pass]]/SUM(Result_sheet[[#This Row],[Pass]:[Fail]]),0)</f>
        <v>0</v>
      </c>
      <c r="L73" s="167">
        <f>IFERROR((Result_sheet[[#This Row],[Fail]]/SUM(Result_sheet[[#This Row],[Pass]:[Fail]])),0)</f>
        <v>0</v>
      </c>
      <c r="M73" s="168">
        <f>IFERROR((Result_sheet[[#This Row],[Block]]/Result_sheet[[#This Row],[시나리오 수]]),0)</f>
        <v>0</v>
      </c>
      <c r="N73" s="29"/>
    </row>
    <row r="74" spans="1:14" ht="13.5">
      <c r="A74" s="28"/>
      <c r="B74" s="164" t="s">
        <v>382</v>
      </c>
      <c r="C74" s="165">
        <f>C28</f>
        <v>63</v>
      </c>
      <c r="D74" s="165">
        <f t="shared" ref="D74:G74" si="15">D28</f>
        <v>0</v>
      </c>
      <c r="E74" s="165">
        <f t="shared" ref="E74:G74" si="16">E28</f>
        <v>0</v>
      </c>
      <c r="F74" s="165">
        <f t="shared" si="16"/>
        <v>0</v>
      </c>
      <c r="G74" s="165">
        <f t="shared" si="16"/>
        <v>0</v>
      </c>
      <c r="H74" s="166">
        <f>SUM(Result_sheet[[#This Row],[Pass]:[N/A]])</f>
        <v>0</v>
      </c>
      <c r="I74" s="167">
        <f>IFERROR(Result_sheet[[#This Row],[Total]]/Result_sheet[[#This Row],[시나리오 수]],0)</f>
        <v>0</v>
      </c>
      <c r="J74" s="167">
        <f>IFERROR(SUM(Result_sheet[[#This Row],[Pass]:[Fail]])/(Result_sheet[[#This Row],[시나리오 수]]-Result_sheet[[#This Row],[N/A]]),0)</f>
        <v>0</v>
      </c>
      <c r="K74" s="167">
        <f>IFERROR(Result_sheet[[#This Row],[Pass]]/SUM(Result_sheet[[#This Row],[Pass]:[Fail]]),0)</f>
        <v>0</v>
      </c>
      <c r="L74" s="167">
        <f>IFERROR((Result_sheet[[#This Row],[Fail]]/SUM(Result_sheet[[#This Row],[Pass]:[Fail]])),0)</f>
        <v>0</v>
      </c>
      <c r="M74" s="168">
        <f>IFERROR((Result_sheet[[#This Row],[Block]]/Result_sheet[[#This Row],[시나리오 수]]),0)</f>
        <v>0</v>
      </c>
      <c r="N74" s="29"/>
    </row>
    <row r="75" spans="1:14" ht="13.5">
      <c r="A75" s="28"/>
      <c r="B75" s="164" t="s">
        <v>102</v>
      </c>
      <c r="C75" s="165">
        <f>C37</f>
        <v>40</v>
      </c>
      <c r="D75" s="165">
        <f t="shared" ref="D75:G75" si="17">D37</f>
        <v>0</v>
      </c>
      <c r="E75" s="165">
        <f t="shared" ref="E75:G75" si="18">E37</f>
        <v>0</v>
      </c>
      <c r="F75" s="165">
        <f t="shared" si="18"/>
        <v>0</v>
      </c>
      <c r="G75" s="165">
        <f t="shared" si="18"/>
        <v>0</v>
      </c>
      <c r="H75" s="166">
        <f>SUM(Result_sheet[[#This Row],[Pass]:[N/A]])</f>
        <v>0</v>
      </c>
      <c r="I75" s="167">
        <f>IFERROR(Result_sheet[[#This Row],[Total]]/Result_sheet[[#This Row],[시나리오 수]],0)</f>
        <v>0</v>
      </c>
      <c r="J75" s="167">
        <f>IFERROR(SUM(Result_sheet[[#This Row],[Pass]:[Fail]])/(Result_sheet[[#This Row],[시나리오 수]]-Result_sheet[[#This Row],[N/A]]),0)</f>
        <v>0</v>
      </c>
      <c r="K75" s="167">
        <f>IFERROR(Result_sheet[[#This Row],[Pass]]/SUM(Result_sheet[[#This Row],[Pass]:[Fail]]),0)</f>
        <v>0</v>
      </c>
      <c r="L75" s="167">
        <f>IFERROR((Result_sheet[[#This Row],[Fail]]/SUM(Result_sheet[[#This Row],[Pass]:[Fail]])),0)</f>
        <v>0</v>
      </c>
      <c r="M75" s="168">
        <f>IFERROR((Result_sheet[[#This Row],[Block]]/Result_sheet[[#This Row],[시나리오 수]]),0)</f>
        <v>0</v>
      </c>
      <c r="N75" s="29"/>
    </row>
    <row r="76" spans="1:14" ht="13.5">
      <c r="A76" s="28"/>
      <c r="B76" s="164" t="s">
        <v>475</v>
      </c>
      <c r="C76" s="165">
        <f>C46</f>
        <v>48</v>
      </c>
      <c r="D76" s="165">
        <f t="shared" ref="D76:G76" si="19">D46</f>
        <v>0</v>
      </c>
      <c r="E76" s="165">
        <f t="shared" ref="E76:G76" si="20">E46</f>
        <v>0</v>
      </c>
      <c r="F76" s="165">
        <f t="shared" si="20"/>
        <v>0</v>
      </c>
      <c r="G76" s="165">
        <f t="shared" si="20"/>
        <v>0</v>
      </c>
      <c r="H76" s="166">
        <f>SUM(Result_sheet[[#This Row],[Pass]:[N/A]])</f>
        <v>0</v>
      </c>
      <c r="I76" s="167">
        <f>IFERROR(Result_sheet[[#This Row],[Total]]/Result_sheet[[#This Row],[시나리오 수]],0)</f>
        <v>0</v>
      </c>
      <c r="J76" s="167">
        <f>IFERROR(SUM(Result_sheet[[#This Row],[Pass]:[Fail]])/(Result_sheet[[#This Row],[시나리오 수]]-Result_sheet[[#This Row],[N/A]]),0)</f>
        <v>0</v>
      </c>
      <c r="K76" s="167">
        <f>IFERROR(Result_sheet[[#This Row],[Pass]]/SUM(Result_sheet[[#This Row],[Pass]:[Fail]]),0)</f>
        <v>0</v>
      </c>
      <c r="L76" s="167">
        <f>IFERROR((Result_sheet[[#This Row],[Fail]]/SUM(Result_sheet[[#This Row],[Pass]:[Fail]])),0)</f>
        <v>0</v>
      </c>
      <c r="M76" s="168">
        <f>IFERROR((Result_sheet[[#This Row],[Block]]/Result_sheet[[#This Row],[시나리오 수]]),0)</f>
        <v>0</v>
      </c>
      <c r="N76" s="29"/>
    </row>
    <row r="77" spans="1:14" ht="13.5">
      <c r="A77" s="28"/>
      <c r="B77" s="97" t="s">
        <v>803</v>
      </c>
      <c r="C77" s="165">
        <f>C55</f>
        <v>28</v>
      </c>
      <c r="D77" s="165">
        <f>D55</f>
        <v>0</v>
      </c>
      <c r="E77" s="165">
        <f t="shared" ref="E77:G77" si="21">E55</f>
        <v>0</v>
      </c>
      <c r="F77" s="165">
        <f t="shared" si="21"/>
        <v>0</v>
      </c>
      <c r="G77" s="165">
        <f t="shared" si="21"/>
        <v>0</v>
      </c>
      <c r="H77" s="166">
        <f>SUM(Result_sheet[[#This Row],[Pass]:[N/A]])</f>
        <v>0</v>
      </c>
      <c r="I77" s="99">
        <f>IFERROR(Result_sheet[[#This Row],[Total]]/Result_sheet[[#This Row],[시나리오 수]],0)</f>
        <v>0</v>
      </c>
      <c r="J77" s="99">
        <f>IFERROR(SUM(Result_sheet[[#This Row],[Pass]:[Fail]])/(Result_sheet[[#This Row],[시나리오 수]]-Result_sheet[[#This Row],[N/A]]),0)</f>
        <v>0</v>
      </c>
      <c r="K77" s="167">
        <f>IFERROR(Result_sheet[[#This Row],[Pass]]/SUM(Result_sheet[[#This Row],[Pass]:[Fail]]),0)</f>
        <v>0</v>
      </c>
      <c r="L77" s="99">
        <f>IFERROR((Result_sheet[[#This Row],[Fail]]/SUM(Result_sheet[[#This Row],[Pass]:[Fail]])),0)</f>
        <v>0</v>
      </c>
      <c r="M77" s="100">
        <f>IFERROR((Result_sheet[[#This Row],[Block]]/Result_sheet[[#This Row],[시나리오 수]]),0)</f>
        <v>0</v>
      </c>
      <c r="N77" s="29"/>
    </row>
    <row r="78" spans="1:14" ht="13.5">
      <c r="A78" s="28"/>
      <c r="B78" s="164" t="s">
        <v>804</v>
      </c>
      <c r="C78" s="165">
        <f>C64</f>
        <v>63</v>
      </c>
      <c r="D78" s="165">
        <f>D64</f>
        <v>0</v>
      </c>
      <c r="E78" s="165">
        <f t="shared" ref="E78:G78" si="22">E64</f>
        <v>0</v>
      </c>
      <c r="F78" s="165">
        <f t="shared" si="22"/>
        <v>0</v>
      </c>
      <c r="G78" s="165">
        <f t="shared" si="22"/>
        <v>0</v>
      </c>
      <c r="H78" s="166">
        <f>SUM(Result_sheet[[#This Row],[Pass]:[N/A]])</f>
        <v>0</v>
      </c>
      <c r="I78" s="167">
        <f>IFERROR(Result_sheet[[#This Row],[Total]]/Result_sheet[[#This Row],[시나리오 수]],0)</f>
        <v>0</v>
      </c>
      <c r="J78" s="167">
        <f>IFERROR(SUM(Result_sheet[[#This Row],[Pass]:[Fail]])/(Result_sheet[[#This Row],[시나리오 수]]-Result_sheet[[#This Row],[N/A]]),0)</f>
        <v>0</v>
      </c>
      <c r="K78" s="167">
        <f>IFERROR(Result_sheet[[#This Row],[Pass]]/SUM(Result_sheet[[#This Row],[Pass]:[Fail]]),0)</f>
        <v>0</v>
      </c>
      <c r="L78" s="167">
        <f>IFERROR((Result_sheet[[#This Row],[Fail]]/SUM(Result_sheet[[#This Row],[Pass]:[Fail]])),0)</f>
        <v>0</v>
      </c>
      <c r="M78" s="168">
        <f>IFERROR((Result_sheet[[#This Row],[Block]]/Result_sheet[[#This Row],[시나리오 수]]),0)</f>
        <v>0</v>
      </c>
      <c r="N78" s="29"/>
    </row>
    <row r="79" spans="1:14" ht="13.5">
      <c r="A79" s="28"/>
      <c r="B79" s="101" t="s">
        <v>42</v>
      </c>
      <c r="C79" s="102">
        <f t="shared" ref="C79:H79" si="23">SUM(C72:C78)</f>
        <v>392</v>
      </c>
      <c r="D79" s="102">
        <f t="shared" si="23"/>
        <v>0</v>
      </c>
      <c r="E79" s="102">
        <f t="shared" si="23"/>
        <v>0</v>
      </c>
      <c r="F79" s="102">
        <f t="shared" si="23"/>
        <v>0</v>
      </c>
      <c r="G79" s="102">
        <f t="shared" si="23"/>
        <v>0</v>
      </c>
      <c r="H79" s="102">
        <f t="shared" si="23"/>
        <v>0</v>
      </c>
      <c r="I79" s="103">
        <f>IFERROR(Result_sheet[[#This Row],[Total]]/Result_sheet[[#This Row],[시나리오 수]],0)</f>
        <v>0</v>
      </c>
      <c r="J79" s="103">
        <f>IFERROR(SUM(Result_sheet[[#This Row],[Pass]:[Fail]])/(Result_sheet[[#This Row],[시나리오 수]]-Result_sheet[[#This Row],[N/A]]),0)</f>
        <v>0</v>
      </c>
      <c r="K79" s="103">
        <f>IFERROR(Result_sheet[[#This Row],[Pass]]/SUM(Result_sheet[[#This Row],[Pass]:[Fail]]),0)</f>
        <v>0</v>
      </c>
      <c r="L79" s="103">
        <f>IFERROR((Result_sheet[[#This Row],[Fail]]/SUM(Result_sheet[[#This Row],[Pass]:[Fail]])),0)</f>
        <v>0</v>
      </c>
      <c r="M79" s="104">
        <f>IFERROR((Result_sheet[[#This Row],[Block]]/Result_sheet[[#This Row],[시나리오 수]]),0)</f>
        <v>0</v>
      </c>
      <c r="N79" s="29"/>
    </row>
    <row r="80" spans="1:14">
      <c r="A80" s="28"/>
      <c r="B80" s="51"/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29"/>
    </row>
    <row r="81" spans="1:14">
      <c r="A81" s="28"/>
      <c r="B81" s="161" t="s">
        <v>25</v>
      </c>
      <c r="C81" s="162" t="s">
        <v>20</v>
      </c>
      <c r="D81" s="162" t="s">
        <v>21</v>
      </c>
      <c r="E81" s="162" t="s">
        <v>22</v>
      </c>
      <c r="F81" s="162" t="s">
        <v>24</v>
      </c>
      <c r="G81" s="162" t="s">
        <v>23</v>
      </c>
      <c r="H81" s="162" t="s">
        <v>42</v>
      </c>
      <c r="I81" s="162" t="s">
        <v>43</v>
      </c>
      <c r="J81" s="162" t="s">
        <v>44</v>
      </c>
      <c r="K81" s="162" t="s">
        <v>45</v>
      </c>
      <c r="L81" s="162" t="s">
        <v>46</v>
      </c>
      <c r="M81" s="163" t="s">
        <v>47</v>
      </c>
      <c r="N81" s="29"/>
    </row>
    <row r="82" spans="1:14" ht="13.5">
      <c r="A82" s="28"/>
      <c r="B82" s="164" t="s">
        <v>59</v>
      </c>
      <c r="C82" s="165">
        <f>SUM(C6,C15,C24,C33,C42,C51,C60)</f>
        <v>168</v>
      </c>
      <c r="D82" s="165">
        <f>SUM(D6,D15,D24,D33,D42,D51,D60)</f>
        <v>0</v>
      </c>
      <c r="E82" s="165">
        <f>SUM(E6,E15,E24,E33,E42,E51,E60)</f>
        <v>0</v>
      </c>
      <c r="F82" s="165">
        <f>SUM(F6,F15,F24,F33,F42,F51,F60)</f>
        <v>0</v>
      </c>
      <c r="G82" s="165">
        <f>SUM(G6,G15,G24,G33,G42,G51,G60)</f>
        <v>0</v>
      </c>
      <c r="H82" s="166">
        <f>SUM(Result_sys[[#This Row],[Pass]:[N/A]])</f>
        <v>0</v>
      </c>
      <c r="I82" s="167">
        <f>IFERROR(Result_sys[[#This Row],[Total]]/Result_sys[[#This Row],[시나리오 수]],0)</f>
        <v>0</v>
      </c>
      <c r="J82" s="167">
        <f>IFERROR(SUM(Result_sys[[#This Row],[Pass]:[Fail]])/(Result_sys[[#This Row],[시나리오 수]]-Result_sys[[#This Row],[N/A]]),0)</f>
        <v>0</v>
      </c>
      <c r="K82" s="167">
        <f>IFERROR(Result_sys[[#This Row],[Pass]]/SUM(Result_sys[[#This Row],[Pass]:[Fail]]),0)</f>
        <v>0</v>
      </c>
      <c r="L82" s="167">
        <f>IFERROR((Result_sys[[#This Row],[Fail]]/SUM(Result_sys[[#This Row],[Pass]:[Fail]])),0)</f>
        <v>0</v>
      </c>
      <c r="M82" s="168">
        <f>IFERROR((Result_sys[[#This Row],[Block]]/Result_sys[[#This Row],[시나리오 수]]),0)</f>
        <v>0</v>
      </c>
      <c r="N82" s="29"/>
    </row>
    <row r="83" spans="1:14" ht="13.5">
      <c r="A83" s="28"/>
      <c r="B83" s="164" t="s">
        <v>48</v>
      </c>
      <c r="C83" s="165">
        <f>SUM(C7,C16,C25,C34,C43,C52,C61)</f>
        <v>168</v>
      </c>
      <c r="D83" s="165">
        <f>SUM(D7,D16,D25,D34,D43,D52,D61)</f>
        <v>0</v>
      </c>
      <c r="E83" s="165">
        <f>SUM(E7,E16,E25,E34,E43,E52,E61)</f>
        <v>0</v>
      </c>
      <c r="F83" s="165">
        <f>SUM(F7,F16,F25,F34,F43,F52,F61)</f>
        <v>0</v>
      </c>
      <c r="G83" s="165">
        <f>SUM(G7,G16,G25,G34,G43,G52,G61)</f>
        <v>0</v>
      </c>
      <c r="H83" s="166">
        <f>SUM(Result_sys[[#This Row],[Pass]:[N/A]])</f>
        <v>0</v>
      </c>
      <c r="I83" s="167">
        <f>IFERROR(Result_sys[[#This Row],[Total]]/Result_sys[[#This Row],[시나리오 수]],0)</f>
        <v>0</v>
      </c>
      <c r="J83" s="167">
        <f>IFERROR(SUM(Result_sys[[#This Row],[Pass]:[Fail]])/(Result_sys[[#This Row],[시나리오 수]]-Result_sys[[#This Row],[N/A]]),0)</f>
        <v>0</v>
      </c>
      <c r="K83" s="167">
        <f>IFERROR(Result_sys[[#This Row],[Pass]]/SUM(Result_sys[[#This Row],[Pass]:[Fail]]),0)</f>
        <v>0</v>
      </c>
      <c r="L83" s="167">
        <f>IFERROR((Result_sys[[#This Row],[Fail]]/SUM(Result_sys[[#This Row],[Pass]:[Fail]])),0)</f>
        <v>0</v>
      </c>
      <c r="M83" s="168">
        <f>IFERROR((Result_sys[[#This Row],[Block]]/Result_sys[[#This Row],[시나리오 수]]),0)</f>
        <v>0</v>
      </c>
      <c r="N83" s="29"/>
    </row>
    <row r="84" spans="1:14" ht="13.5">
      <c r="A84" s="28"/>
      <c r="B84" s="164" t="s">
        <v>49</v>
      </c>
      <c r="C84" s="165">
        <f>SUM(C8,C17,C26,C35,C44,C53,C62)</f>
        <v>56</v>
      </c>
      <c r="D84" s="165">
        <f>SUM(D8,D17,D26,D35,D44,D53,D62)</f>
        <v>0</v>
      </c>
      <c r="E84" s="165">
        <f>SUM(E8,E17,E26,E35,E44,E53,E62)</f>
        <v>0</v>
      </c>
      <c r="F84" s="165">
        <f>SUM(F8,F17,F26,F35,F44,F53,F62)</f>
        <v>0</v>
      </c>
      <c r="G84" s="165">
        <f>SUM(G8,G17,G26,G35,G44,G53,G62)</f>
        <v>0</v>
      </c>
      <c r="H84" s="166">
        <f>SUM(Result_sys[[#This Row],[Pass]:[N/A]])</f>
        <v>0</v>
      </c>
      <c r="I84" s="167">
        <f>IFERROR(Result_sys[[#This Row],[Total]]/Result_sys[[#This Row],[시나리오 수]],0)</f>
        <v>0</v>
      </c>
      <c r="J84" s="167">
        <f>IFERROR(SUM(Result_sys[[#This Row],[Pass]:[Fail]])/(Result_sys[[#This Row],[시나리오 수]]-Result_sys[[#This Row],[N/A]]),0)</f>
        <v>0</v>
      </c>
      <c r="K84" s="167">
        <f>IFERROR(Result_sys[[#This Row],[Pass]]/SUM(Result_sys[[#This Row],[Pass]:[Fail]]),0)</f>
        <v>0</v>
      </c>
      <c r="L84" s="167">
        <f>IFERROR((Result_sys[[#This Row],[Fail]]/SUM(Result_sys[[#This Row],[Pass]:[Fail]])),0)</f>
        <v>0</v>
      </c>
      <c r="M84" s="168">
        <f>IFERROR((Result_sys[[#This Row],[Block]]/Result_sys[[#This Row],[시나리오 수]]),0)</f>
        <v>0</v>
      </c>
      <c r="N84" s="29"/>
    </row>
    <row r="85" spans="1:14" ht="13.5">
      <c r="A85" s="28"/>
      <c r="B85" s="164" t="s">
        <v>50</v>
      </c>
      <c r="C85" s="165">
        <f>SUM(C9,C18,C27,C36,C45,C54,C63)</f>
        <v>0</v>
      </c>
      <c r="D85" s="165">
        <f>SUM(D9,D18,D27,D36,D45,D54,D63)</f>
        <v>0</v>
      </c>
      <c r="E85" s="165">
        <f>SUM(E9,E18,E27,E36,E45,E54,E63)</f>
        <v>0</v>
      </c>
      <c r="F85" s="165">
        <f>SUM(F9,F18,F27,F36,F45,F54,F63)</f>
        <v>0</v>
      </c>
      <c r="G85" s="165">
        <f>SUM(G9,G18,G27,G36,G45,G54,G63)</f>
        <v>0</v>
      </c>
      <c r="H85" s="166">
        <f>SUM(Result_sys[[#This Row],[Pass]:[N/A]])</f>
        <v>0</v>
      </c>
      <c r="I85" s="167">
        <f>IFERROR(Result_sys[[#This Row],[Total]]/Result_sys[[#This Row],[시나리오 수]],0)</f>
        <v>0</v>
      </c>
      <c r="J85" s="167">
        <f>IFERROR(SUM(Result_sys[[#This Row],[Pass]:[Fail]])/(Result_sys[[#This Row],[시나리오 수]]-Result_sys[[#This Row],[N/A]]),0)</f>
        <v>0</v>
      </c>
      <c r="K85" s="167">
        <f>IFERROR(Result_sys[[#This Row],[Pass]]/SUM(Result_sys[[#This Row],[Pass]:[Fail]]),0)</f>
        <v>0</v>
      </c>
      <c r="L85" s="167">
        <f>IFERROR((Result_sys[[#This Row],[Fail]]/SUM(Result_sys[[#This Row],[Pass]:[Fail]])),0)</f>
        <v>0</v>
      </c>
      <c r="M85" s="168">
        <f>IFERROR((Result_sys[[#This Row],[Block]]/Result_sys[[#This Row],[시나리오 수]]),0)</f>
        <v>0</v>
      </c>
      <c r="N85" s="29"/>
    </row>
    <row r="86" spans="1:14" ht="13.5">
      <c r="A86" s="28"/>
      <c r="B86" s="101" t="s">
        <v>42</v>
      </c>
      <c r="C86" s="102">
        <f t="shared" ref="C86:H86" si="24">SUM(C82:C85)</f>
        <v>392</v>
      </c>
      <c r="D86" s="102">
        <f t="shared" si="24"/>
        <v>0</v>
      </c>
      <c r="E86" s="102">
        <f t="shared" si="24"/>
        <v>0</v>
      </c>
      <c r="F86" s="102">
        <f t="shared" si="24"/>
        <v>0</v>
      </c>
      <c r="G86" s="102">
        <f t="shared" si="24"/>
        <v>0</v>
      </c>
      <c r="H86" s="102">
        <f t="shared" si="24"/>
        <v>0</v>
      </c>
      <c r="I86" s="103">
        <f>IFERROR(Result_sys[[#This Row],[Total]]/Result_sys[[#This Row],[시나리오 수]],0)</f>
        <v>0</v>
      </c>
      <c r="J86" s="103">
        <f>IFERROR(SUM(Result_sys[[#This Row],[Pass]:[Fail]])/(Result_sys[[#This Row],[시나리오 수]]-Result_sys[[#This Row],[N/A]]),0)</f>
        <v>0</v>
      </c>
      <c r="K86" s="103">
        <f>IFERROR(Result_sys[[#This Row],[Pass]]/SUM(Result_sys[[#This Row],[Pass]:[Fail]]),0)</f>
        <v>0</v>
      </c>
      <c r="L86" s="103">
        <f>IFERROR((Result_sys[[#This Row],[Fail]]/SUM(Result_sys[[#This Row],[Pass]:[Fail]])),0)</f>
        <v>0</v>
      </c>
      <c r="M86" s="104">
        <f>IFERROR((Result_sys[[#This Row],[Block]]/Result_sys[[#This Row],[시나리오 수]]),0)</f>
        <v>0</v>
      </c>
      <c r="N86" s="29"/>
    </row>
    <row r="87" spans="1:14">
      <c r="B87" s="33"/>
      <c r="C87" s="33"/>
      <c r="D87" s="34"/>
      <c r="E87" s="34"/>
      <c r="F87" s="34"/>
      <c r="G87" s="34"/>
      <c r="H87" s="34"/>
      <c r="I87" s="34"/>
      <c r="J87" s="34"/>
      <c r="K87" s="34"/>
      <c r="L87" s="34"/>
      <c r="M87" s="34"/>
    </row>
  </sheetData>
  <mergeCells count="8">
    <mergeCell ref="B39:C39"/>
    <mergeCell ref="B48:C48"/>
    <mergeCell ref="B69:C69"/>
    <mergeCell ref="B57:C57"/>
    <mergeCell ref="B3:C3"/>
    <mergeCell ref="B12:C12"/>
    <mergeCell ref="B21:C21"/>
    <mergeCell ref="B30:C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0" orientation="landscape" verticalDpi="4" r:id="rId1"/>
  <drawing r:id="rId2"/>
  <legacyDrawing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AC2D-4A35-4C71-802C-348FEBE6FFE8}">
  <sheetPr>
    <pageSetUpPr fitToPage="1"/>
  </sheetPr>
  <dimension ref="B6:F16"/>
  <sheetViews>
    <sheetView workbookViewId="0">
      <selection activeCell="H22" sqref="H22"/>
    </sheetView>
  </sheetViews>
  <sheetFormatPr defaultRowHeight="13.5"/>
  <cols>
    <col min="1" max="1" width="2.77734375" customWidth="1"/>
    <col min="2" max="2" width="5.77734375" customWidth="1"/>
    <col min="3" max="4" width="15.77734375" customWidth="1"/>
    <col min="5" max="5" width="40.77734375" customWidth="1"/>
    <col min="6" max="6" width="38.21875" customWidth="1"/>
  </cols>
  <sheetData>
    <row r="6" spans="2:6">
      <c r="B6" s="48"/>
      <c r="C6" s="48"/>
      <c r="D6" s="49"/>
      <c r="E6" s="49"/>
    </row>
    <row r="7" spans="2:6">
      <c r="B7" s="55" t="s">
        <v>201</v>
      </c>
      <c r="C7" s="55" t="s">
        <v>202</v>
      </c>
      <c r="D7" s="55" t="s">
        <v>203</v>
      </c>
      <c r="E7" s="55" t="s">
        <v>204</v>
      </c>
      <c r="F7" s="55" t="s">
        <v>18</v>
      </c>
    </row>
    <row r="8" spans="2:6">
      <c r="B8" s="56">
        <v>1</v>
      </c>
      <c r="C8" s="86" t="s">
        <v>205</v>
      </c>
      <c r="D8" s="56" t="s">
        <v>783</v>
      </c>
      <c r="E8" s="57" t="s">
        <v>205</v>
      </c>
      <c r="F8" s="57"/>
    </row>
    <row r="9" spans="2:6">
      <c r="B9" s="56">
        <v>2</v>
      </c>
      <c r="C9" s="87"/>
      <c r="D9" s="56" t="s">
        <v>784</v>
      </c>
      <c r="E9" s="57" t="s">
        <v>241</v>
      </c>
      <c r="F9" s="57"/>
    </row>
    <row r="10" spans="2:6">
      <c r="B10" s="56">
        <v>3</v>
      </c>
      <c r="C10" s="57" t="s">
        <v>206</v>
      </c>
      <c r="D10" s="56" t="s">
        <v>785</v>
      </c>
      <c r="E10" s="57" t="s">
        <v>206</v>
      </c>
      <c r="F10" s="57"/>
    </row>
    <row r="11" spans="2:6">
      <c r="B11" s="56">
        <v>4</v>
      </c>
      <c r="C11" s="57" t="s">
        <v>381</v>
      </c>
      <c r="D11" s="56" t="s">
        <v>786</v>
      </c>
      <c r="E11" s="57" t="s">
        <v>381</v>
      </c>
      <c r="F11" s="57"/>
    </row>
    <row r="12" spans="2:6">
      <c r="B12" s="56">
        <v>5</v>
      </c>
      <c r="C12" s="57" t="s">
        <v>472</v>
      </c>
      <c r="D12" s="145" t="s">
        <v>787</v>
      </c>
      <c r="E12" s="57" t="s">
        <v>472</v>
      </c>
      <c r="F12" s="58"/>
    </row>
    <row r="13" spans="2:6">
      <c r="B13" s="56">
        <v>6</v>
      </c>
      <c r="C13" s="57" t="s">
        <v>474</v>
      </c>
      <c r="D13" s="56" t="s">
        <v>788</v>
      </c>
      <c r="E13" s="57" t="s">
        <v>474</v>
      </c>
      <c r="F13" s="57"/>
    </row>
    <row r="14" spans="2:6">
      <c r="B14" s="56">
        <v>7</v>
      </c>
      <c r="C14" s="57" t="s">
        <v>789</v>
      </c>
      <c r="D14" s="56" t="s">
        <v>790</v>
      </c>
      <c r="E14" s="57" t="s">
        <v>789</v>
      </c>
      <c r="F14" s="57"/>
    </row>
    <row r="15" spans="2:6">
      <c r="B15" s="56">
        <v>8</v>
      </c>
      <c r="C15" s="86" t="s">
        <v>567</v>
      </c>
      <c r="D15" s="56" t="s">
        <v>791</v>
      </c>
      <c r="E15" s="57" t="s">
        <v>567</v>
      </c>
      <c r="F15" s="57"/>
    </row>
    <row r="16" spans="2:6">
      <c r="B16" s="56">
        <v>9</v>
      </c>
      <c r="C16" s="87"/>
      <c r="D16" s="56" t="s">
        <v>792</v>
      </c>
      <c r="E16" s="57" t="s">
        <v>587</v>
      </c>
      <c r="F16" s="57"/>
    </row>
  </sheetData>
  <mergeCells count="2">
    <mergeCell ref="C8:C9"/>
    <mergeCell ref="C15:C16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9" orientation="landscape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CB18-B2B2-48E3-8777-0CEE03278277}">
  <sheetPr>
    <pageSetUpPr fitToPage="1"/>
  </sheetPr>
  <dimension ref="A1:Q109"/>
  <sheetViews>
    <sheetView tabSelected="1" topLeftCell="A22" zoomScaleNormal="100" workbookViewId="0">
      <selection activeCell="N40" sqref="N40"/>
    </sheetView>
  </sheetViews>
  <sheetFormatPr defaultColWidth="8.88671875" defaultRowHeight="13.5"/>
  <cols>
    <col min="1" max="1" width="2.6640625" style="36" customWidth="1"/>
    <col min="2" max="2" width="5" style="38" customWidth="1"/>
    <col min="3" max="4" width="10" style="38" customWidth="1"/>
    <col min="5" max="5" width="13.5546875" style="38" customWidth="1"/>
    <col min="6" max="7" width="5.6640625" style="38" customWidth="1"/>
    <col min="8" max="8" width="18.44140625" style="38" customWidth="1"/>
    <col min="9" max="9" width="20.5546875" style="38" customWidth="1"/>
    <col min="10" max="10" width="20.5546875" style="36" customWidth="1"/>
    <col min="11" max="11" width="31.88671875" style="36" customWidth="1"/>
    <col min="12" max="13" width="8.6640625" style="36" customWidth="1"/>
    <col min="14" max="14" width="9.109375" style="38" customWidth="1"/>
    <col min="15" max="15" width="30.6640625" style="36" customWidth="1"/>
    <col min="16" max="16" width="10.5546875" style="36" bestFit="1" customWidth="1"/>
    <col min="17" max="16384" width="8.88671875" style="36"/>
  </cols>
  <sheetData>
    <row r="1" spans="1:16" ht="66" customHeight="1">
      <c r="B1" s="39"/>
      <c r="C1" s="39"/>
      <c r="D1" s="39"/>
      <c r="E1" s="39"/>
      <c r="F1" s="40"/>
      <c r="G1" s="40"/>
      <c r="H1" s="40"/>
      <c r="I1" s="40"/>
      <c r="J1" s="41"/>
      <c r="K1" s="41"/>
    </row>
    <row r="2" spans="1:16" ht="59.65" customHeight="1">
      <c r="A2" s="42"/>
      <c r="B2" s="59" t="s">
        <v>210</v>
      </c>
      <c r="C2" s="88" t="s">
        <v>209</v>
      </c>
      <c r="D2" s="89"/>
      <c r="E2" s="89"/>
      <c r="F2" s="89"/>
      <c r="G2" s="89"/>
      <c r="H2" s="89"/>
      <c r="I2" s="89"/>
      <c r="J2" s="89"/>
      <c r="K2" s="90"/>
      <c r="L2" s="30"/>
      <c r="M2" s="27"/>
      <c r="N2" s="160"/>
      <c r="O2" s="45"/>
      <c r="P2" s="45"/>
    </row>
    <row r="3" spans="1:16" ht="7.5" customHeight="1">
      <c r="B3" s="54"/>
      <c r="C3" s="54"/>
      <c r="D3" s="54"/>
      <c r="E3" s="54"/>
      <c r="F3" s="51"/>
      <c r="G3" s="51"/>
      <c r="H3" s="51"/>
      <c r="I3" s="51"/>
      <c r="J3" s="52"/>
      <c r="K3" s="52"/>
      <c r="L3" s="25"/>
      <c r="M3" s="25"/>
    </row>
    <row r="4" spans="1:16">
      <c r="A4" s="42"/>
      <c r="B4" s="93" t="s">
        <v>37</v>
      </c>
      <c r="C4" s="93"/>
      <c r="D4" s="93"/>
      <c r="E4" s="93"/>
      <c r="F4" s="93"/>
      <c r="G4" s="93"/>
      <c r="H4" s="93"/>
      <c r="I4" s="93"/>
      <c r="J4" s="93"/>
      <c r="K4" s="93"/>
      <c r="L4" s="29"/>
      <c r="M4" s="25"/>
    </row>
    <row r="5" spans="1:16" s="45" customFormat="1">
      <c r="A5" s="44"/>
      <c r="B5" s="94"/>
      <c r="C5" s="94"/>
      <c r="D5" s="94"/>
      <c r="E5" s="94"/>
      <c r="F5" s="94"/>
      <c r="G5" s="94"/>
      <c r="H5" s="94"/>
      <c r="I5" s="94"/>
      <c r="J5" s="94"/>
      <c r="K5" s="94"/>
      <c r="L5" s="30"/>
      <c r="M5" s="27"/>
      <c r="N5" s="160"/>
    </row>
    <row r="6" spans="1:16" s="45" customFormat="1">
      <c r="A6" s="44"/>
      <c r="B6" s="94"/>
      <c r="C6" s="94"/>
      <c r="D6" s="94"/>
      <c r="E6" s="94"/>
      <c r="F6" s="94"/>
      <c r="G6" s="94"/>
      <c r="H6" s="94"/>
      <c r="I6" s="94"/>
      <c r="J6" s="94"/>
      <c r="K6" s="94"/>
      <c r="L6" s="30"/>
      <c r="M6" s="27"/>
      <c r="N6" s="160"/>
    </row>
    <row r="7" spans="1:16" s="45" customFormat="1">
      <c r="A7" s="44"/>
      <c r="B7" s="94"/>
      <c r="C7" s="94"/>
      <c r="D7" s="94"/>
      <c r="E7" s="94"/>
      <c r="F7" s="94"/>
      <c r="G7" s="94"/>
      <c r="H7" s="94"/>
      <c r="I7" s="94"/>
      <c r="J7" s="94"/>
      <c r="K7" s="94"/>
      <c r="L7" s="30"/>
      <c r="M7" s="27"/>
      <c r="N7" s="160"/>
    </row>
    <row r="8" spans="1:16" s="45" customFormat="1">
      <c r="A8" s="44"/>
      <c r="B8" s="94"/>
      <c r="C8" s="94"/>
      <c r="D8" s="94"/>
      <c r="E8" s="94"/>
      <c r="F8" s="94"/>
      <c r="G8" s="94"/>
      <c r="H8" s="94"/>
      <c r="I8" s="94"/>
      <c r="J8" s="94"/>
      <c r="K8" s="94"/>
      <c r="L8" s="30"/>
      <c r="M8" s="27"/>
      <c r="N8" s="160"/>
    </row>
    <row r="9" spans="1:16" s="45" customFormat="1">
      <c r="A9" s="44"/>
      <c r="B9" s="94"/>
      <c r="C9" s="94"/>
      <c r="D9" s="94"/>
      <c r="E9" s="94"/>
      <c r="F9" s="94"/>
      <c r="G9" s="94"/>
      <c r="H9" s="94"/>
      <c r="I9" s="94"/>
      <c r="J9" s="94"/>
      <c r="K9" s="94"/>
      <c r="L9" s="30"/>
      <c r="M9" s="27"/>
      <c r="N9" s="160"/>
    </row>
    <row r="10" spans="1:16" s="45" customFormat="1">
      <c r="A10" s="4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30"/>
      <c r="M10" s="27"/>
      <c r="N10" s="160"/>
    </row>
    <row r="11" spans="1:16" s="45" customFormat="1">
      <c r="A11" s="4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30"/>
      <c r="M11" s="27"/>
      <c r="N11" s="160"/>
    </row>
    <row r="12" spans="1:16" s="45" customFormat="1">
      <c r="A12" s="4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30"/>
      <c r="M12" s="27"/>
      <c r="N12" s="160"/>
    </row>
    <row r="13" spans="1:16" s="45" customFormat="1">
      <c r="A13" s="4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30"/>
      <c r="M13" s="27"/>
      <c r="N13" s="160"/>
    </row>
    <row r="14" spans="1:16" s="45" customFormat="1">
      <c r="A14" s="4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30"/>
      <c r="M14" s="27"/>
      <c r="N14" s="160"/>
    </row>
    <row r="15" spans="1:16" s="45" customFormat="1">
      <c r="A15" s="4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30"/>
      <c r="M15" s="27"/>
      <c r="N15" s="160"/>
    </row>
    <row r="16" spans="1:16" s="45" customFormat="1">
      <c r="A16" s="4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30"/>
      <c r="M16" s="27"/>
      <c r="N16" s="160"/>
    </row>
    <row r="17" spans="1:14" s="45" customFormat="1">
      <c r="A17" s="4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30"/>
      <c r="M17" s="27"/>
      <c r="N17" s="160"/>
    </row>
    <row r="18" spans="1:14" s="45" customFormat="1">
      <c r="A18" s="4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30"/>
      <c r="M18" s="27"/>
      <c r="N18" s="160"/>
    </row>
    <row r="19" spans="1:14" s="45" customFormat="1">
      <c r="A19" s="4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30"/>
      <c r="M19" s="27"/>
      <c r="N19" s="160"/>
    </row>
    <row r="20" spans="1:14" s="45" customFormat="1">
      <c r="A20" s="4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30"/>
      <c r="M20" s="27"/>
      <c r="N20" s="160"/>
    </row>
    <row r="21" spans="1:14" s="45" customFormat="1">
      <c r="A21" s="4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30"/>
      <c r="M21" s="27"/>
      <c r="N21" s="160"/>
    </row>
    <row r="22" spans="1:14" s="45" customFormat="1">
      <c r="A22" s="4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30"/>
      <c r="M22" s="27"/>
      <c r="N22" s="160"/>
    </row>
    <row r="23" spans="1:14" s="45" customFormat="1">
      <c r="A23" s="4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30"/>
      <c r="M23" s="27"/>
      <c r="N23" s="160"/>
    </row>
    <row r="24" spans="1:14" s="45" customFormat="1">
      <c r="A24" s="4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30"/>
      <c r="M24" s="27"/>
      <c r="N24" s="160"/>
    </row>
    <row r="25" spans="1:14" s="45" customFormat="1">
      <c r="A25" s="4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30"/>
      <c r="M25" s="27"/>
      <c r="N25" s="160"/>
    </row>
    <row r="26" spans="1:14" s="45" customFormat="1">
      <c r="A26" s="4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30"/>
      <c r="M26" s="27"/>
      <c r="N26" s="160"/>
    </row>
    <row r="27" spans="1:14" s="45" customFormat="1">
      <c r="A27" s="4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30"/>
      <c r="M27" s="27"/>
      <c r="N27" s="160"/>
    </row>
    <row r="28" spans="1:14" s="45" customFormat="1">
      <c r="A28" s="4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30"/>
      <c r="M28" s="27"/>
      <c r="N28" s="160"/>
    </row>
    <row r="29" spans="1:14">
      <c r="A29" s="42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29"/>
      <c r="M29" s="25"/>
    </row>
    <row r="30" spans="1:14">
      <c r="A30" s="4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29"/>
      <c r="M30" s="25"/>
    </row>
    <row r="31" spans="1:14">
      <c r="A31" s="42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29"/>
      <c r="M31" s="25"/>
    </row>
    <row r="32" spans="1:14">
      <c r="A32" s="42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9"/>
      <c r="M32" s="25"/>
    </row>
    <row r="33" spans="1:17">
      <c r="A33" s="42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9"/>
      <c r="M33" s="25"/>
    </row>
    <row r="34" spans="1:17">
      <c r="A34" s="42"/>
      <c r="B34" s="93" t="s">
        <v>26</v>
      </c>
      <c r="C34" s="93"/>
      <c r="D34" s="93"/>
      <c r="E34" s="93"/>
      <c r="F34" s="93"/>
      <c r="G34" s="93"/>
      <c r="H34" s="93"/>
      <c r="I34" s="93"/>
      <c r="J34" s="93"/>
      <c r="K34" s="93"/>
      <c r="L34" s="29"/>
      <c r="M34" s="25"/>
    </row>
    <row r="35" spans="1:17" ht="81.599999999999994" customHeight="1">
      <c r="A35" s="42"/>
      <c r="B35" s="91" t="s">
        <v>332</v>
      </c>
      <c r="C35" s="91"/>
      <c r="D35" s="91"/>
      <c r="E35" s="92"/>
      <c r="F35" s="92"/>
      <c r="G35" s="92"/>
      <c r="H35" s="92"/>
      <c r="I35" s="92"/>
      <c r="J35" s="92"/>
      <c r="K35" s="92"/>
      <c r="L35" s="29"/>
      <c r="M35" s="25"/>
    </row>
    <row r="36" spans="1:17">
      <c r="A36" s="42"/>
      <c r="B36" s="93" t="s">
        <v>38</v>
      </c>
      <c r="C36" s="93"/>
      <c r="D36" s="93"/>
      <c r="E36" s="93"/>
      <c r="F36" s="93"/>
      <c r="G36" s="93"/>
      <c r="H36" s="93"/>
      <c r="I36" s="93"/>
      <c r="J36" s="93"/>
      <c r="K36" s="93"/>
      <c r="L36" s="29"/>
      <c r="M36" s="25"/>
    </row>
    <row r="37" spans="1:17" ht="30" customHeight="1">
      <c r="A37" s="42"/>
      <c r="B37" s="92" t="s">
        <v>147</v>
      </c>
      <c r="C37" s="92"/>
      <c r="D37" s="92"/>
      <c r="E37" s="92"/>
      <c r="F37" s="92"/>
      <c r="G37" s="92"/>
      <c r="H37" s="92"/>
      <c r="I37" s="92"/>
      <c r="J37" s="92"/>
      <c r="K37" s="92"/>
      <c r="L37" s="29"/>
      <c r="M37" s="25"/>
    </row>
    <row r="38" spans="1:17" ht="10.15" customHeight="1">
      <c r="B38" s="54"/>
      <c r="C38" s="54"/>
      <c r="D38" s="54"/>
      <c r="E38" s="54"/>
      <c r="F38" s="51"/>
      <c r="G38" s="51"/>
      <c r="H38" s="51"/>
      <c r="I38" s="51"/>
      <c r="J38" s="52"/>
      <c r="K38" s="52"/>
      <c r="L38" s="32"/>
      <c r="M38" s="32"/>
      <c r="N38" s="40"/>
      <c r="O38" s="41"/>
      <c r="P38" s="41"/>
      <c r="Q38" s="41"/>
    </row>
    <row r="39" spans="1:17">
      <c r="A39" s="42"/>
      <c r="B39" s="105" t="s">
        <v>196</v>
      </c>
      <c r="C39" s="106" t="s">
        <v>352</v>
      </c>
      <c r="D39" s="106" t="s">
        <v>19</v>
      </c>
      <c r="E39" s="106" t="s">
        <v>40</v>
      </c>
      <c r="F39" s="106" t="s">
        <v>27</v>
      </c>
      <c r="G39" s="106" t="s">
        <v>28</v>
      </c>
      <c r="H39" s="106" t="s">
        <v>29</v>
      </c>
      <c r="I39" s="106" t="s">
        <v>41</v>
      </c>
      <c r="J39" s="106" t="s">
        <v>30</v>
      </c>
      <c r="K39" s="106" t="s">
        <v>31</v>
      </c>
      <c r="L39" s="106" t="s">
        <v>32</v>
      </c>
      <c r="M39" s="106" t="s">
        <v>33</v>
      </c>
      <c r="N39" s="107" t="s">
        <v>34</v>
      </c>
      <c r="O39" s="107" t="s">
        <v>35</v>
      </c>
      <c r="P39" s="107" t="s">
        <v>39</v>
      </c>
      <c r="Q39" s="108" t="s">
        <v>36</v>
      </c>
    </row>
    <row r="40" spans="1:17" ht="24">
      <c r="A40" s="42"/>
      <c r="B40" s="109">
        <v>1</v>
      </c>
      <c r="C40" s="56" t="s">
        <v>226</v>
      </c>
      <c r="D40" s="56" t="s">
        <v>331</v>
      </c>
      <c r="E40" s="110" t="s">
        <v>51</v>
      </c>
      <c r="F40" s="56" t="s">
        <v>59</v>
      </c>
      <c r="G40" s="56" t="s">
        <v>54</v>
      </c>
      <c r="H40" s="110" t="s">
        <v>246</v>
      </c>
      <c r="I40" s="110" t="s">
        <v>229</v>
      </c>
      <c r="J40" s="111"/>
      <c r="K40" s="111" t="s">
        <v>64</v>
      </c>
      <c r="L40" s="112"/>
      <c r="M40" s="112"/>
      <c r="N40" s="116"/>
      <c r="O40" s="98"/>
      <c r="P40" s="98"/>
      <c r="Q40" s="113"/>
    </row>
    <row r="41" spans="1:17" ht="36">
      <c r="A41" s="42"/>
      <c r="B41" s="109">
        <v>2</v>
      </c>
      <c r="C41" s="56" t="s">
        <v>226</v>
      </c>
      <c r="D41" s="56" t="s">
        <v>260</v>
      </c>
      <c r="E41" s="110" t="s">
        <v>51</v>
      </c>
      <c r="F41" s="56" t="s">
        <v>59</v>
      </c>
      <c r="G41" s="56" t="s">
        <v>92</v>
      </c>
      <c r="H41" s="110" t="s">
        <v>247</v>
      </c>
      <c r="I41" s="110" t="s">
        <v>234</v>
      </c>
      <c r="J41" s="111" t="s">
        <v>65</v>
      </c>
      <c r="K41" s="111" t="s">
        <v>123</v>
      </c>
      <c r="L41" s="112"/>
      <c r="M41" s="112"/>
      <c r="N41" s="116"/>
      <c r="O41" s="98"/>
      <c r="P41" s="98"/>
      <c r="Q41" s="113"/>
    </row>
    <row r="42" spans="1:17" ht="24">
      <c r="A42" s="42"/>
      <c r="B42" s="109">
        <v>3</v>
      </c>
      <c r="C42" s="56" t="s">
        <v>226</v>
      </c>
      <c r="D42" s="56" t="s">
        <v>261</v>
      </c>
      <c r="E42" s="110" t="s">
        <v>51</v>
      </c>
      <c r="F42" s="56" t="s">
        <v>59</v>
      </c>
      <c r="G42" s="56" t="s">
        <v>92</v>
      </c>
      <c r="H42" s="110" t="s">
        <v>248</v>
      </c>
      <c r="I42" s="110" t="s">
        <v>227</v>
      </c>
      <c r="J42" s="111" t="s">
        <v>218</v>
      </c>
      <c r="K42" s="111" t="s">
        <v>223</v>
      </c>
      <c r="L42" s="112"/>
      <c r="M42" s="112"/>
      <c r="N42" s="116"/>
      <c r="O42" s="98"/>
      <c r="P42" s="98"/>
      <c r="Q42" s="113"/>
    </row>
    <row r="43" spans="1:17" ht="24">
      <c r="A43" s="42"/>
      <c r="B43" s="109">
        <v>4</v>
      </c>
      <c r="C43" s="56" t="s">
        <v>226</v>
      </c>
      <c r="D43" s="56" t="s">
        <v>262</v>
      </c>
      <c r="E43" s="110" t="s">
        <v>51</v>
      </c>
      <c r="F43" s="56" t="s">
        <v>59</v>
      </c>
      <c r="G43" s="56" t="s">
        <v>92</v>
      </c>
      <c r="H43" s="110"/>
      <c r="I43" s="110" t="s">
        <v>228</v>
      </c>
      <c r="J43" s="111" t="s">
        <v>218</v>
      </c>
      <c r="K43" s="111" t="s">
        <v>219</v>
      </c>
      <c r="L43" s="112"/>
      <c r="M43" s="112"/>
      <c r="N43" s="116"/>
      <c r="O43" s="98"/>
      <c r="P43" s="98"/>
      <c r="Q43" s="113"/>
    </row>
    <row r="44" spans="1:17" ht="24">
      <c r="A44" s="42"/>
      <c r="B44" s="109">
        <v>5</v>
      </c>
      <c r="C44" s="56" t="s">
        <v>226</v>
      </c>
      <c r="D44" s="56" t="s">
        <v>263</v>
      </c>
      <c r="E44" s="110" t="s">
        <v>51</v>
      </c>
      <c r="F44" s="56" t="s">
        <v>59</v>
      </c>
      <c r="G44" s="56" t="s">
        <v>90</v>
      </c>
      <c r="H44" s="110"/>
      <c r="I44" s="110" t="s">
        <v>228</v>
      </c>
      <c r="J44" s="110"/>
      <c r="K44" s="110" t="s">
        <v>236</v>
      </c>
      <c r="L44" s="112"/>
      <c r="M44" s="112"/>
      <c r="N44" s="116"/>
      <c r="O44" s="98"/>
      <c r="P44" s="98"/>
      <c r="Q44" s="113"/>
    </row>
    <row r="45" spans="1:17" ht="48">
      <c r="A45" s="42"/>
      <c r="B45" s="109">
        <v>6</v>
      </c>
      <c r="C45" s="56" t="s">
        <v>226</v>
      </c>
      <c r="D45" s="56" t="s">
        <v>264</v>
      </c>
      <c r="E45" s="110" t="s">
        <v>51</v>
      </c>
      <c r="F45" s="56" t="s">
        <v>59</v>
      </c>
      <c r="G45" s="56" t="s">
        <v>54</v>
      </c>
      <c r="H45" s="110" t="s">
        <v>249</v>
      </c>
      <c r="I45" s="110" t="s">
        <v>230</v>
      </c>
      <c r="J45" s="111" t="s">
        <v>66</v>
      </c>
      <c r="K45" s="111" t="s">
        <v>217</v>
      </c>
      <c r="L45" s="112"/>
      <c r="M45" s="112"/>
      <c r="N45" s="116"/>
      <c r="O45" s="98"/>
      <c r="P45" s="98"/>
      <c r="Q45" s="113"/>
    </row>
    <row r="46" spans="1:17" ht="48">
      <c r="A46" s="42"/>
      <c r="B46" s="109">
        <v>7</v>
      </c>
      <c r="C46" s="56" t="s">
        <v>226</v>
      </c>
      <c r="D46" s="56" t="s">
        <v>265</v>
      </c>
      <c r="E46" s="110" t="s">
        <v>51</v>
      </c>
      <c r="F46" s="56" t="s">
        <v>59</v>
      </c>
      <c r="G46" s="56" t="s">
        <v>90</v>
      </c>
      <c r="H46" s="110"/>
      <c r="I46" s="110" t="s">
        <v>230</v>
      </c>
      <c r="J46" s="110"/>
      <c r="K46" s="110" t="s">
        <v>216</v>
      </c>
      <c r="L46" s="112"/>
      <c r="M46" s="112"/>
      <c r="N46" s="116"/>
      <c r="O46" s="98"/>
      <c r="P46" s="98"/>
      <c r="Q46" s="113"/>
    </row>
    <row r="47" spans="1:17" ht="36">
      <c r="A47" s="42"/>
      <c r="B47" s="109">
        <v>8</v>
      </c>
      <c r="C47" s="56" t="s">
        <v>226</v>
      </c>
      <c r="D47" s="56" t="s">
        <v>266</v>
      </c>
      <c r="E47" s="110" t="s">
        <v>51</v>
      </c>
      <c r="F47" s="56" t="s">
        <v>59</v>
      </c>
      <c r="G47" s="56" t="s">
        <v>54</v>
      </c>
      <c r="H47" s="110" t="s">
        <v>250</v>
      </c>
      <c r="I47" s="110" t="s">
        <v>231</v>
      </c>
      <c r="J47" s="111" t="s">
        <v>67</v>
      </c>
      <c r="K47" s="111" t="s">
        <v>125</v>
      </c>
      <c r="L47" s="112"/>
      <c r="M47" s="112"/>
      <c r="N47" s="116"/>
      <c r="O47" s="98"/>
      <c r="P47" s="98"/>
      <c r="Q47" s="113"/>
    </row>
    <row r="48" spans="1:17" ht="36">
      <c r="A48" s="42"/>
      <c r="B48" s="109">
        <v>9</v>
      </c>
      <c r="C48" s="56" t="s">
        <v>226</v>
      </c>
      <c r="D48" s="56" t="s">
        <v>267</v>
      </c>
      <c r="E48" s="110" t="s">
        <v>51</v>
      </c>
      <c r="F48" s="56" t="s">
        <v>59</v>
      </c>
      <c r="G48" s="56" t="s">
        <v>92</v>
      </c>
      <c r="H48" s="110" t="s">
        <v>251</v>
      </c>
      <c r="I48" s="110" t="s">
        <v>232</v>
      </c>
      <c r="J48" s="111" t="s">
        <v>197</v>
      </c>
      <c r="K48" s="111" t="s">
        <v>124</v>
      </c>
      <c r="L48" s="112"/>
      <c r="M48" s="112"/>
      <c r="N48" s="116"/>
      <c r="O48" s="98"/>
      <c r="P48" s="98"/>
      <c r="Q48" s="113"/>
    </row>
    <row r="49" spans="1:17" ht="36">
      <c r="A49" s="42"/>
      <c r="B49" s="109">
        <v>10</v>
      </c>
      <c r="C49" s="56" t="s">
        <v>226</v>
      </c>
      <c r="D49" s="56" t="s">
        <v>268</v>
      </c>
      <c r="E49" s="110" t="s">
        <v>51</v>
      </c>
      <c r="F49" s="56" t="s">
        <v>59</v>
      </c>
      <c r="G49" s="56" t="s">
        <v>54</v>
      </c>
      <c r="H49" s="110" t="s">
        <v>252</v>
      </c>
      <c r="I49" s="110" t="s">
        <v>233</v>
      </c>
      <c r="J49" s="111" t="s">
        <v>239</v>
      </c>
      <c r="K49" s="111" t="s">
        <v>224</v>
      </c>
      <c r="L49" s="112"/>
      <c r="M49" s="112"/>
      <c r="N49" s="116"/>
      <c r="O49" s="98"/>
      <c r="P49" s="98"/>
      <c r="Q49" s="113"/>
    </row>
    <row r="50" spans="1:17" ht="24">
      <c r="A50" s="42"/>
      <c r="B50" s="109">
        <v>11</v>
      </c>
      <c r="C50" s="56" t="s">
        <v>226</v>
      </c>
      <c r="D50" s="56" t="s">
        <v>269</v>
      </c>
      <c r="E50" s="110" t="s">
        <v>51</v>
      </c>
      <c r="F50" s="56" t="s">
        <v>59</v>
      </c>
      <c r="G50" s="56" t="s">
        <v>92</v>
      </c>
      <c r="H50" s="110" t="s">
        <v>253</v>
      </c>
      <c r="I50" s="110" t="s">
        <v>255</v>
      </c>
      <c r="J50" s="111"/>
      <c r="K50" s="111" t="s">
        <v>75</v>
      </c>
      <c r="L50" s="112"/>
      <c r="M50" s="112"/>
      <c r="N50" s="116"/>
      <c r="O50" s="98"/>
      <c r="P50" s="98"/>
      <c r="Q50" s="113"/>
    </row>
    <row r="51" spans="1:17" ht="36">
      <c r="A51" s="42"/>
      <c r="B51" s="109">
        <v>12</v>
      </c>
      <c r="C51" s="56" t="s">
        <v>226</v>
      </c>
      <c r="D51" s="56" t="s">
        <v>270</v>
      </c>
      <c r="E51" s="110" t="s">
        <v>51</v>
      </c>
      <c r="F51" s="56" t="s">
        <v>59</v>
      </c>
      <c r="G51" s="56" t="s">
        <v>90</v>
      </c>
      <c r="H51" s="110" t="s">
        <v>254</v>
      </c>
      <c r="I51" s="110" t="s">
        <v>234</v>
      </c>
      <c r="J51" s="111" t="s">
        <v>65</v>
      </c>
      <c r="K51" s="111" t="s">
        <v>123</v>
      </c>
      <c r="L51" s="112"/>
      <c r="M51" s="112"/>
      <c r="N51" s="116"/>
      <c r="O51" s="98"/>
      <c r="P51" s="98"/>
      <c r="Q51" s="113"/>
    </row>
    <row r="52" spans="1:17" ht="48">
      <c r="A52" s="42"/>
      <c r="B52" s="109">
        <v>13</v>
      </c>
      <c r="C52" s="56" t="s">
        <v>226</v>
      </c>
      <c r="D52" s="56" t="s">
        <v>271</v>
      </c>
      <c r="E52" s="110" t="s">
        <v>51</v>
      </c>
      <c r="F52" s="56" t="s">
        <v>59</v>
      </c>
      <c r="G52" s="56" t="s">
        <v>54</v>
      </c>
      <c r="H52" s="110" t="s">
        <v>256</v>
      </c>
      <c r="I52" s="110" t="s">
        <v>235</v>
      </c>
      <c r="J52" s="111" t="s">
        <v>69</v>
      </c>
      <c r="K52" s="111" t="s">
        <v>198</v>
      </c>
      <c r="L52" s="112"/>
      <c r="M52" s="112"/>
      <c r="N52" s="116"/>
      <c r="O52" s="98"/>
      <c r="P52" s="98"/>
      <c r="Q52" s="113"/>
    </row>
    <row r="53" spans="1:17" ht="36">
      <c r="A53" s="42"/>
      <c r="B53" s="109">
        <v>14</v>
      </c>
      <c r="C53" s="56" t="s">
        <v>226</v>
      </c>
      <c r="D53" s="56" t="s">
        <v>278</v>
      </c>
      <c r="E53" s="110" t="s">
        <v>51</v>
      </c>
      <c r="F53" s="56" t="s">
        <v>59</v>
      </c>
      <c r="G53" s="56" t="s">
        <v>54</v>
      </c>
      <c r="H53" s="110" t="s">
        <v>257</v>
      </c>
      <c r="I53" s="110" t="s">
        <v>237</v>
      </c>
      <c r="J53" s="111" t="s">
        <v>218</v>
      </c>
      <c r="K53" s="111" t="s">
        <v>223</v>
      </c>
      <c r="L53" s="112"/>
      <c r="M53" s="112"/>
      <c r="N53" s="116"/>
      <c r="O53" s="98"/>
      <c r="P53" s="98"/>
      <c r="Q53" s="113"/>
    </row>
    <row r="54" spans="1:17" ht="36">
      <c r="A54" s="42"/>
      <c r="B54" s="109">
        <v>15</v>
      </c>
      <c r="C54" s="56" t="s">
        <v>226</v>
      </c>
      <c r="D54" s="56" t="s">
        <v>279</v>
      </c>
      <c r="E54" s="110" t="s">
        <v>51</v>
      </c>
      <c r="F54" s="56" t="s">
        <v>59</v>
      </c>
      <c r="G54" s="56" t="s">
        <v>90</v>
      </c>
      <c r="H54" s="110" t="s">
        <v>258</v>
      </c>
      <c r="I54" s="110" t="s">
        <v>238</v>
      </c>
      <c r="J54" s="111" t="s">
        <v>197</v>
      </c>
      <c r="K54" s="111" t="s">
        <v>124</v>
      </c>
      <c r="L54" s="112"/>
      <c r="M54" s="112"/>
      <c r="N54" s="116"/>
      <c r="O54" s="98"/>
      <c r="P54" s="98"/>
      <c r="Q54" s="113"/>
    </row>
    <row r="55" spans="1:17" ht="36">
      <c r="A55" s="42"/>
      <c r="B55" s="109">
        <v>16</v>
      </c>
      <c r="C55" s="56" t="s">
        <v>226</v>
      </c>
      <c r="D55" s="56" t="s">
        <v>280</v>
      </c>
      <c r="E55" s="110" t="s">
        <v>51</v>
      </c>
      <c r="F55" s="56" t="s">
        <v>59</v>
      </c>
      <c r="G55" s="56" t="s">
        <v>54</v>
      </c>
      <c r="H55" s="110" t="s">
        <v>259</v>
      </c>
      <c r="I55" s="110" t="s">
        <v>233</v>
      </c>
      <c r="J55" s="111" t="s">
        <v>240</v>
      </c>
      <c r="K55" s="111" t="s">
        <v>225</v>
      </c>
      <c r="L55" s="112"/>
      <c r="M55" s="112"/>
      <c r="N55" s="116"/>
      <c r="O55" s="98"/>
      <c r="P55" s="98"/>
      <c r="Q55" s="113"/>
    </row>
    <row r="56" spans="1:17" ht="24">
      <c r="A56" s="42"/>
      <c r="B56" s="109">
        <v>17</v>
      </c>
      <c r="C56" s="56" t="s">
        <v>226</v>
      </c>
      <c r="D56" s="56" t="s">
        <v>281</v>
      </c>
      <c r="E56" s="110" t="s">
        <v>51</v>
      </c>
      <c r="F56" s="56" t="s">
        <v>48</v>
      </c>
      <c r="G56" s="56" t="s">
        <v>54</v>
      </c>
      <c r="H56" s="110" t="s">
        <v>246</v>
      </c>
      <c r="I56" s="110" t="s">
        <v>229</v>
      </c>
      <c r="J56" s="111"/>
      <c r="K56" s="111" t="s">
        <v>64</v>
      </c>
      <c r="L56" s="112"/>
      <c r="M56" s="112"/>
      <c r="N56" s="116"/>
      <c r="O56" s="98"/>
      <c r="P56" s="98"/>
      <c r="Q56" s="113"/>
    </row>
    <row r="57" spans="1:17" ht="36">
      <c r="A57" s="42"/>
      <c r="B57" s="109">
        <v>18</v>
      </c>
      <c r="C57" s="56" t="s">
        <v>226</v>
      </c>
      <c r="D57" s="56" t="s">
        <v>282</v>
      </c>
      <c r="E57" s="110" t="s">
        <v>51</v>
      </c>
      <c r="F57" s="56" t="s">
        <v>48</v>
      </c>
      <c r="G57" s="56" t="s">
        <v>90</v>
      </c>
      <c r="H57" s="110" t="s">
        <v>247</v>
      </c>
      <c r="I57" s="110" t="s">
        <v>234</v>
      </c>
      <c r="J57" s="111" t="s">
        <v>65</v>
      </c>
      <c r="K57" s="111" t="s">
        <v>123</v>
      </c>
      <c r="L57" s="112"/>
      <c r="M57" s="112"/>
      <c r="N57" s="116"/>
      <c r="O57" s="98"/>
      <c r="P57" s="98"/>
      <c r="Q57" s="113"/>
    </row>
    <row r="58" spans="1:17" ht="24">
      <c r="A58" s="42"/>
      <c r="B58" s="109">
        <v>19</v>
      </c>
      <c r="C58" s="56" t="s">
        <v>226</v>
      </c>
      <c r="D58" s="56" t="s">
        <v>283</v>
      </c>
      <c r="E58" s="110" t="s">
        <v>51</v>
      </c>
      <c r="F58" s="56" t="s">
        <v>48</v>
      </c>
      <c r="G58" s="56" t="s">
        <v>90</v>
      </c>
      <c r="H58" s="110" t="s">
        <v>248</v>
      </c>
      <c r="I58" s="110" t="s">
        <v>227</v>
      </c>
      <c r="J58" s="111" t="s">
        <v>218</v>
      </c>
      <c r="K58" s="111" t="s">
        <v>223</v>
      </c>
      <c r="L58" s="112"/>
      <c r="M58" s="112"/>
      <c r="N58" s="116"/>
      <c r="O58" s="98"/>
      <c r="P58" s="98"/>
      <c r="Q58" s="113"/>
    </row>
    <row r="59" spans="1:17" ht="24">
      <c r="A59" s="42"/>
      <c r="B59" s="109">
        <v>20</v>
      </c>
      <c r="C59" s="56" t="s">
        <v>226</v>
      </c>
      <c r="D59" s="56" t="s">
        <v>284</v>
      </c>
      <c r="E59" s="110" t="s">
        <v>51</v>
      </c>
      <c r="F59" s="56" t="s">
        <v>48</v>
      </c>
      <c r="G59" s="56" t="s">
        <v>90</v>
      </c>
      <c r="H59" s="110"/>
      <c r="I59" s="110" t="s">
        <v>228</v>
      </c>
      <c r="J59" s="111" t="s">
        <v>218</v>
      </c>
      <c r="K59" s="111" t="s">
        <v>219</v>
      </c>
      <c r="L59" s="112"/>
      <c r="M59" s="112"/>
      <c r="N59" s="116"/>
      <c r="O59" s="98"/>
      <c r="P59" s="98"/>
      <c r="Q59" s="113"/>
    </row>
    <row r="60" spans="1:17" ht="24">
      <c r="A60" s="42"/>
      <c r="B60" s="109">
        <v>21</v>
      </c>
      <c r="C60" s="56" t="s">
        <v>226</v>
      </c>
      <c r="D60" s="56" t="s">
        <v>285</v>
      </c>
      <c r="E60" s="110" t="s">
        <v>51</v>
      </c>
      <c r="F60" s="56" t="s">
        <v>48</v>
      </c>
      <c r="G60" s="56" t="s">
        <v>90</v>
      </c>
      <c r="H60" s="110"/>
      <c r="I60" s="110" t="s">
        <v>228</v>
      </c>
      <c r="J60" s="110"/>
      <c r="K60" s="110" t="s">
        <v>236</v>
      </c>
      <c r="L60" s="112"/>
      <c r="M60" s="112"/>
      <c r="N60" s="116"/>
      <c r="O60" s="98"/>
      <c r="P60" s="98"/>
      <c r="Q60" s="113"/>
    </row>
    <row r="61" spans="1:17" ht="48">
      <c r="A61" s="42"/>
      <c r="B61" s="109">
        <v>22</v>
      </c>
      <c r="C61" s="56" t="s">
        <v>226</v>
      </c>
      <c r="D61" s="56" t="s">
        <v>286</v>
      </c>
      <c r="E61" s="110" t="s">
        <v>51</v>
      </c>
      <c r="F61" s="56" t="s">
        <v>48</v>
      </c>
      <c r="G61" s="56" t="s">
        <v>54</v>
      </c>
      <c r="H61" s="110" t="s">
        <v>249</v>
      </c>
      <c r="I61" s="110" t="s">
        <v>230</v>
      </c>
      <c r="J61" s="111" t="s">
        <v>66</v>
      </c>
      <c r="K61" s="111" t="s">
        <v>217</v>
      </c>
      <c r="L61" s="98"/>
      <c r="M61" s="98"/>
      <c r="N61" s="116"/>
      <c r="O61" s="98"/>
      <c r="P61" s="98"/>
      <c r="Q61" s="113"/>
    </row>
    <row r="62" spans="1:17" ht="48">
      <c r="A62" s="42"/>
      <c r="B62" s="109">
        <v>23</v>
      </c>
      <c r="C62" s="56" t="s">
        <v>226</v>
      </c>
      <c r="D62" s="56" t="s">
        <v>287</v>
      </c>
      <c r="E62" s="110" t="s">
        <v>51</v>
      </c>
      <c r="F62" s="56" t="s">
        <v>48</v>
      </c>
      <c r="G62" s="56" t="s">
        <v>90</v>
      </c>
      <c r="H62" s="110"/>
      <c r="I62" s="110" t="s">
        <v>230</v>
      </c>
      <c r="J62" s="110"/>
      <c r="K62" s="110" t="s">
        <v>216</v>
      </c>
      <c r="L62" s="114"/>
      <c r="M62" s="114"/>
      <c r="N62" s="116"/>
      <c r="O62" s="98"/>
      <c r="P62" s="98"/>
      <c r="Q62" s="113"/>
    </row>
    <row r="63" spans="1:17" ht="36">
      <c r="A63" s="42"/>
      <c r="B63" s="109">
        <v>24</v>
      </c>
      <c r="C63" s="56" t="s">
        <v>226</v>
      </c>
      <c r="D63" s="56" t="s">
        <v>288</v>
      </c>
      <c r="E63" s="110" t="s">
        <v>51</v>
      </c>
      <c r="F63" s="56" t="s">
        <v>48</v>
      </c>
      <c r="G63" s="56" t="s">
        <v>54</v>
      </c>
      <c r="H63" s="110" t="s">
        <v>250</v>
      </c>
      <c r="I63" s="110" t="s">
        <v>231</v>
      </c>
      <c r="J63" s="111" t="s">
        <v>67</v>
      </c>
      <c r="K63" s="111" t="s">
        <v>125</v>
      </c>
      <c r="L63" s="114"/>
      <c r="M63" s="114"/>
      <c r="N63" s="116"/>
      <c r="O63" s="98"/>
      <c r="P63" s="98"/>
      <c r="Q63" s="113"/>
    </row>
    <row r="64" spans="1:17" ht="36">
      <c r="A64" s="42"/>
      <c r="B64" s="109">
        <v>25</v>
      </c>
      <c r="C64" s="56" t="s">
        <v>226</v>
      </c>
      <c r="D64" s="56" t="s">
        <v>289</v>
      </c>
      <c r="E64" s="110" t="s">
        <v>51</v>
      </c>
      <c r="F64" s="56" t="s">
        <v>48</v>
      </c>
      <c r="G64" s="56" t="s">
        <v>90</v>
      </c>
      <c r="H64" s="110" t="s">
        <v>251</v>
      </c>
      <c r="I64" s="110" t="s">
        <v>334</v>
      </c>
      <c r="J64" s="111" t="s">
        <v>197</v>
      </c>
      <c r="K64" s="111" t="s">
        <v>124</v>
      </c>
      <c r="L64" s="114"/>
      <c r="M64" s="114"/>
      <c r="N64" s="116"/>
      <c r="O64" s="98"/>
      <c r="P64" s="98"/>
      <c r="Q64" s="113"/>
    </row>
    <row r="65" spans="1:17" ht="36">
      <c r="A65" s="42"/>
      <c r="B65" s="109">
        <v>26</v>
      </c>
      <c r="C65" s="56" t="s">
        <v>226</v>
      </c>
      <c r="D65" s="56" t="s">
        <v>290</v>
      </c>
      <c r="E65" s="110" t="s">
        <v>51</v>
      </c>
      <c r="F65" s="56" t="s">
        <v>48</v>
      </c>
      <c r="G65" s="56" t="s">
        <v>54</v>
      </c>
      <c r="H65" s="110" t="s">
        <v>252</v>
      </c>
      <c r="I65" s="110" t="s">
        <v>233</v>
      </c>
      <c r="J65" s="111" t="s">
        <v>239</v>
      </c>
      <c r="K65" s="111" t="s">
        <v>224</v>
      </c>
      <c r="L65" s="114"/>
      <c r="M65" s="114"/>
      <c r="N65" s="116"/>
      <c r="O65" s="98"/>
      <c r="P65" s="98"/>
      <c r="Q65" s="113"/>
    </row>
    <row r="66" spans="1:17" ht="24">
      <c r="A66" s="42"/>
      <c r="B66" s="109">
        <v>27</v>
      </c>
      <c r="C66" s="56" t="s">
        <v>226</v>
      </c>
      <c r="D66" s="56" t="s">
        <v>272</v>
      </c>
      <c r="E66" s="110" t="s">
        <v>51</v>
      </c>
      <c r="F66" s="56" t="s">
        <v>48</v>
      </c>
      <c r="G66" s="56" t="s">
        <v>90</v>
      </c>
      <c r="H66" s="110" t="s">
        <v>253</v>
      </c>
      <c r="I66" s="110" t="s">
        <v>255</v>
      </c>
      <c r="J66" s="111"/>
      <c r="K66" s="111" t="s">
        <v>75</v>
      </c>
      <c r="L66" s="114"/>
      <c r="M66" s="114"/>
      <c r="N66" s="116"/>
      <c r="O66" s="98"/>
      <c r="P66" s="98"/>
      <c r="Q66" s="113"/>
    </row>
    <row r="67" spans="1:17" ht="36">
      <c r="A67" s="42"/>
      <c r="B67" s="109">
        <v>28</v>
      </c>
      <c r="C67" s="56" t="s">
        <v>226</v>
      </c>
      <c r="D67" s="56" t="s">
        <v>273</v>
      </c>
      <c r="E67" s="110" t="s">
        <v>51</v>
      </c>
      <c r="F67" s="56" t="s">
        <v>48</v>
      </c>
      <c r="G67" s="56" t="s">
        <v>90</v>
      </c>
      <c r="H67" s="110" t="s">
        <v>254</v>
      </c>
      <c r="I67" s="110" t="s">
        <v>234</v>
      </c>
      <c r="J67" s="111" t="s">
        <v>65</v>
      </c>
      <c r="K67" s="111" t="s">
        <v>123</v>
      </c>
      <c r="L67" s="114"/>
      <c r="M67" s="114"/>
      <c r="N67" s="116"/>
      <c r="O67" s="98"/>
      <c r="P67" s="98"/>
      <c r="Q67" s="113"/>
    </row>
    <row r="68" spans="1:17" ht="48">
      <c r="A68" s="42"/>
      <c r="B68" s="109">
        <v>29</v>
      </c>
      <c r="C68" s="56" t="s">
        <v>226</v>
      </c>
      <c r="D68" s="56" t="s">
        <v>274</v>
      </c>
      <c r="E68" s="110" t="s">
        <v>51</v>
      </c>
      <c r="F68" s="56" t="s">
        <v>48</v>
      </c>
      <c r="G68" s="56" t="s">
        <v>54</v>
      </c>
      <c r="H68" s="110" t="s">
        <v>256</v>
      </c>
      <c r="I68" s="110" t="s">
        <v>235</v>
      </c>
      <c r="J68" s="111" t="s">
        <v>69</v>
      </c>
      <c r="K68" s="111" t="s">
        <v>198</v>
      </c>
      <c r="L68" s="114"/>
      <c r="M68" s="114"/>
      <c r="N68" s="116"/>
      <c r="O68" s="98"/>
      <c r="P68" s="98"/>
      <c r="Q68" s="113"/>
    </row>
    <row r="69" spans="1:17" ht="36">
      <c r="A69" s="42"/>
      <c r="B69" s="109">
        <v>30</v>
      </c>
      <c r="C69" s="56" t="s">
        <v>226</v>
      </c>
      <c r="D69" s="56" t="s">
        <v>275</v>
      </c>
      <c r="E69" s="110" t="s">
        <v>51</v>
      </c>
      <c r="F69" s="56" t="s">
        <v>48</v>
      </c>
      <c r="G69" s="56" t="s">
        <v>54</v>
      </c>
      <c r="H69" s="110" t="s">
        <v>257</v>
      </c>
      <c r="I69" s="110" t="s">
        <v>237</v>
      </c>
      <c r="J69" s="111" t="s">
        <v>218</v>
      </c>
      <c r="K69" s="111" t="s">
        <v>223</v>
      </c>
      <c r="L69" s="114"/>
      <c r="M69" s="114"/>
      <c r="N69" s="116"/>
      <c r="O69" s="98"/>
      <c r="P69" s="98"/>
      <c r="Q69" s="113"/>
    </row>
    <row r="70" spans="1:17" ht="36">
      <c r="A70" s="42"/>
      <c r="B70" s="109">
        <v>31</v>
      </c>
      <c r="C70" s="56" t="s">
        <v>226</v>
      </c>
      <c r="D70" s="56" t="s">
        <v>276</v>
      </c>
      <c r="E70" s="110" t="s">
        <v>51</v>
      </c>
      <c r="F70" s="56" t="s">
        <v>48</v>
      </c>
      <c r="G70" s="56" t="s">
        <v>90</v>
      </c>
      <c r="H70" s="110" t="s">
        <v>258</v>
      </c>
      <c r="I70" s="110" t="s">
        <v>238</v>
      </c>
      <c r="J70" s="111" t="s">
        <v>197</v>
      </c>
      <c r="K70" s="111" t="s">
        <v>124</v>
      </c>
      <c r="L70" s="114"/>
      <c r="M70" s="114"/>
      <c r="N70" s="116"/>
      <c r="O70" s="98"/>
      <c r="P70" s="98"/>
      <c r="Q70" s="113"/>
    </row>
    <row r="71" spans="1:17" ht="36">
      <c r="A71" s="42"/>
      <c r="B71" s="109">
        <v>32</v>
      </c>
      <c r="C71" s="56" t="s">
        <v>226</v>
      </c>
      <c r="D71" s="56" t="s">
        <v>277</v>
      </c>
      <c r="E71" s="110" t="s">
        <v>51</v>
      </c>
      <c r="F71" s="56" t="s">
        <v>48</v>
      </c>
      <c r="G71" s="56" t="s">
        <v>54</v>
      </c>
      <c r="H71" s="110" t="s">
        <v>259</v>
      </c>
      <c r="I71" s="110" t="s">
        <v>233</v>
      </c>
      <c r="J71" s="111" t="s">
        <v>240</v>
      </c>
      <c r="K71" s="111" t="s">
        <v>225</v>
      </c>
      <c r="L71" s="114"/>
      <c r="M71" s="114"/>
      <c r="N71" s="116"/>
      <c r="O71" s="98"/>
      <c r="P71" s="98"/>
      <c r="Q71" s="113"/>
    </row>
    <row r="72" spans="1:17" ht="24">
      <c r="A72" s="42"/>
      <c r="B72" s="109">
        <v>33</v>
      </c>
      <c r="C72" s="56" t="s">
        <v>244</v>
      </c>
      <c r="D72" s="56" t="s">
        <v>293</v>
      </c>
      <c r="E72" s="110" t="s">
        <v>51</v>
      </c>
      <c r="F72" s="56" t="s">
        <v>59</v>
      </c>
      <c r="G72" s="56" t="s">
        <v>54</v>
      </c>
      <c r="H72" s="110" t="s">
        <v>246</v>
      </c>
      <c r="I72" s="110" t="s">
        <v>229</v>
      </c>
      <c r="J72" s="111"/>
      <c r="K72" s="111" t="s">
        <v>64</v>
      </c>
      <c r="L72" s="114"/>
      <c r="M72" s="114"/>
      <c r="N72" s="116"/>
      <c r="O72" s="98"/>
      <c r="P72" s="98"/>
      <c r="Q72" s="113"/>
    </row>
    <row r="73" spans="1:17" ht="36">
      <c r="A73" s="42"/>
      <c r="B73" s="109">
        <v>34</v>
      </c>
      <c r="C73" s="56" t="s">
        <v>244</v>
      </c>
      <c r="D73" s="56" t="s">
        <v>294</v>
      </c>
      <c r="E73" s="110" t="s">
        <v>51</v>
      </c>
      <c r="F73" s="56" t="s">
        <v>59</v>
      </c>
      <c r="G73" s="56" t="s">
        <v>90</v>
      </c>
      <c r="H73" s="110" t="s">
        <v>247</v>
      </c>
      <c r="I73" s="110" t="s">
        <v>234</v>
      </c>
      <c r="J73" s="111" t="s">
        <v>65</v>
      </c>
      <c r="K73" s="111" t="s">
        <v>123</v>
      </c>
      <c r="L73" s="114"/>
      <c r="M73" s="114"/>
      <c r="N73" s="116"/>
      <c r="O73" s="98"/>
      <c r="P73" s="98"/>
      <c r="Q73" s="113"/>
    </row>
    <row r="74" spans="1:17" ht="24">
      <c r="A74" s="42"/>
      <c r="B74" s="109">
        <v>35</v>
      </c>
      <c r="C74" s="56" t="s">
        <v>244</v>
      </c>
      <c r="D74" s="56" t="s">
        <v>295</v>
      </c>
      <c r="E74" s="110" t="s">
        <v>51</v>
      </c>
      <c r="F74" s="56" t="s">
        <v>59</v>
      </c>
      <c r="G74" s="56" t="s">
        <v>90</v>
      </c>
      <c r="H74" s="110" t="s">
        <v>248</v>
      </c>
      <c r="I74" s="110" t="s">
        <v>227</v>
      </c>
      <c r="J74" s="111" t="s">
        <v>218</v>
      </c>
      <c r="K74" s="111" t="s">
        <v>223</v>
      </c>
      <c r="L74" s="114"/>
      <c r="M74" s="114"/>
      <c r="N74" s="116"/>
      <c r="O74" s="98"/>
      <c r="P74" s="98"/>
      <c r="Q74" s="113"/>
    </row>
    <row r="75" spans="1:17" ht="24">
      <c r="A75" s="42"/>
      <c r="B75" s="109">
        <v>36</v>
      </c>
      <c r="C75" s="56" t="s">
        <v>244</v>
      </c>
      <c r="D75" s="56" t="s">
        <v>296</v>
      </c>
      <c r="E75" s="110" t="s">
        <v>51</v>
      </c>
      <c r="F75" s="56" t="s">
        <v>59</v>
      </c>
      <c r="G75" s="56" t="s">
        <v>90</v>
      </c>
      <c r="H75" s="110"/>
      <c r="I75" s="110" t="s">
        <v>228</v>
      </c>
      <c r="J75" s="111" t="s">
        <v>218</v>
      </c>
      <c r="K75" s="111" t="s">
        <v>219</v>
      </c>
      <c r="L75" s="114"/>
      <c r="M75" s="114"/>
      <c r="N75" s="116"/>
      <c r="O75" s="98"/>
      <c r="P75" s="98"/>
      <c r="Q75" s="113"/>
    </row>
    <row r="76" spans="1:17" ht="24">
      <c r="A76" s="42"/>
      <c r="B76" s="109">
        <v>37</v>
      </c>
      <c r="C76" s="56" t="s">
        <v>244</v>
      </c>
      <c r="D76" s="56" t="s">
        <v>297</v>
      </c>
      <c r="E76" s="110" t="s">
        <v>51</v>
      </c>
      <c r="F76" s="56" t="s">
        <v>59</v>
      </c>
      <c r="G76" s="56" t="s">
        <v>90</v>
      </c>
      <c r="H76" s="110"/>
      <c r="I76" s="110" t="s">
        <v>228</v>
      </c>
      <c r="J76" s="110"/>
      <c r="K76" s="110" t="s">
        <v>236</v>
      </c>
      <c r="L76" s="114"/>
      <c r="M76" s="114"/>
      <c r="N76" s="116"/>
      <c r="O76" s="98"/>
      <c r="P76" s="98"/>
      <c r="Q76" s="113"/>
    </row>
    <row r="77" spans="1:17" ht="48">
      <c r="A77" s="42"/>
      <c r="B77" s="109">
        <v>38</v>
      </c>
      <c r="C77" s="56" t="s">
        <v>244</v>
      </c>
      <c r="D77" s="56" t="s">
        <v>298</v>
      </c>
      <c r="E77" s="110" t="s">
        <v>51</v>
      </c>
      <c r="F77" s="56" t="s">
        <v>59</v>
      </c>
      <c r="G77" s="56" t="s">
        <v>54</v>
      </c>
      <c r="H77" s="110" t="s">
        <v>249</v>
      </c>
      <c r="I77" s="110" t="s">
        <v>230</v>
      </c>
      <c r="J77" s="111" t="s">
        <v>66</v>
      </c>
      <c r="K77" s="111" t="s">
        <v>217</v>
      </c>
      <c r="L77" s="114"/>
      <c r="M77" s="114"/>
      <c r="N77" s="116"/>
      <c r="O77" s="98"/>
      <c r="P77" s="98"/>
      <c r="Q77" s="113"/>
    </row>
    <row r="78" spans="1:17" ht="48">
      <c r="A78" s="42"/>
      <c r="B78" s="109">
        <v>39</v>
      </c>
      <c r="C78" s="56" t="s">
        <v>244</v>
      </c>
      <c r="D78" s="56" t="s">
        <v>299</v>
      </c>
      <c r="E78" s="110" t="s">
        <v>51</v>
      </c>
      <c r="F78" s="56" t="s">
        <v>59</v>
      </c>
      <c r="G78" s="56" t="s">
        <v>90</v>
      </c>
      <c r="H78" s="110"/>
      <c r="I78" s="110" t="s">
        <v>230</v>
      </c>
      <c r="J78" s="110"/>
      <c r="K78" s="110" t="s">
        <v>216</v>
      </c>
      <c r="L78" s="114"/>
      <c r="M78" s="114"/>
      <c r="N78" s="116"/>
      <c r="O78" s="98"/>
      <c r="P78" s="98"/>
      <c r="Q78" s="113"/>
    </row>
    <row r="79" spans="1:17" ht="36">
      <c r="A79" s="42"/>
      <c r="B79" s="109">
        <v>40</v>
      </c>
      <c r="C79" s="56" t="s">
        <v>244</v>
      </c>
      <c r="D79" s="56" t="s">
        <v>300</v>
      </c>
      <c r="E79" s="110" t="s">
        <v>51</v>
      </c>
      <c r="F79" s="56" t="s">
        <v>59</v>
      </c>
      <c r="G79" s="56" t="s">
        <v>54</v>
      </c>
      <c r="H79" s="110" t="s">
        <v>250</v>
      </c>
      <c r="I79" s="110" t="s">
        <v>231</v>
      </c>
      <c r="J79" s="111" t="s">
        <v>67</v>
      </c>
      <c r="K79" s="111" t="s">
        <v>125</v>
      </c>
      <c r="L79" s="114"/>
      <c r="M79" s="114"/>
      <c r="N79" s="116"/>
      <c r="O79" s="98"/>
      <c r="P79" s="98"/>
      <c r="Q79" s="113"/>
    </row>
    <row r="80" spans="1:17" ht="36">
      <c r="A80" s="42"/>
      <c r="B80" s="109">
        <v>41</v>
      </c>
      <c r="C80" s="56" t="s">
        <v>244</v>
      </c>
      <c r="D80" s="56" t="s">
        <v>301</v>
      </c>
      <c r="E80" s="110" t="s">
        <v>51</v>
      </c>
      <c r="F80" s="56" t="s">
        <v>59</v>
      </c>
      <c r="G80" s="56" t="s">
        <v>90</v>
      </c>
      <c r="H80" s="110" t="s">
        <v>251</v>
      </c>
      <c r="I80" s="110" t="s">
        <v>232</v>
      </c>
      <c r="J80" s="111" t="s">
        <v>197</v>
      </c>
      <c r="K80" s="111" t="s">
        <v>124</v>
      </c>
      <c r="L80" s="114"/>
      <c r="M80" s="114"/>
      <c r="N80" s="116"/>
      <c r="O80" s="98"/>
      <c r="P80" s="98"/>
      <c r="Q80" s="113"/>
    </row>
    <row r="81" spans="1:17" ht="36">
      <c r="A81" s="42"/>
      <c r="B81" s="109">
        <v>42</v>
      </c>
      <c r="C81" s="56" t="s">
        <v>244</v>
      </c>
      <c r="D81" s="56" t="s">
        <v>302</v>
      </c>
      <c r="E81" s="110" t="s">
        <v>51</v>
      </c>
      <c r="F81" s="56" t="s">
        <v>59</v>
      </c>
      <c r="G81" s="56" t="s">
        <v>54</v>
      </c>
      <c r="H81" s="110" t="s">
        <v>252</v>
      </c>
      <c r="I81" s="110" t="s">
        <v>233</v>
      </c>
      <c r="J81" s="111" t="s">
        <v>239</v>
      </c>
      <c r="K81" s="111" t="s">
        <v>224</v>
      </c>
      <c r="L81" s="114"/>
      <c r="M81" s="114"/>
      <c r="N81" s="116"/>
      <c r="O81" s="98"/>
      <c r="P81" s="98"/>
      <c r="Q81" s="113"/>
    </row>
    <row r="82" spans="1:17" ht="24">
      <c r="A82" s="42"/>
      <c r="B82" s="109">
        <v>43</v>
      </c>
      <c r="C82" s="56" t="s">
        <v>244</v>
      </c>
      <c r="D82" s="56" t="s">
        <v>303</v>
      </c>
      <c r="E82" s="110" t="s">
        <v>51</v>
      </c>
      <c r="F82" s="56" t="s">
        <v>59</v>
      </c>
      <c r="G82" s="56" t="s">
        <v>90</v>
      </c>
      <c r="H82" s="110" t="s">
        <v>253</v>
      </c>
      <c r="I82" s="110" t="s">
        <v>255</v>
      </c>
      <c r="J82" s="111"/>
      <c r="K82" s="111" t="s">
        <v>75</v>
      </c>
      <c r="L82" s="114"/>
      <c r="M82" s="114"/>
      <c r="N82" s="116"/>
      <c r="O82" s="98"/>
      <c r="P82" s="98"/>
      <c r="Q82" s="113"/>
    </row>
    <row r="83" spans="1:17" ht="36">
      <c r="A83" s="42"/>
      <c r="B83" s="109">
        <v>44</v>
      </c>
      <c r="C83" s="56" t="s">
        <v>244</v>
      </c>
      <c r="D83" s="56" t="s">
        <v>304</v>
      </c>
      <c r="E83" s="110" t="s">
        <v>51</v>
      </c>
      <c r="F83" s="56" t="s">
        <v>59</v>
      </c>
      <c r="G83" s="56" t="s">
        <v>90</v>
      </c>
      <c r="H83" s="110" t="s">
        <v>254</v>
      </c>
      <c r="I83" s="110" t="s">
        <v>234</v>
      </c>
      <c r="J83" s="111" t="s">
        <v>65</v>
      </c>
      <c r="K83" s="111" t="s">
        <v>123</v>
      </c>
      <c r="L83" s="114"/>
      <c r="M83" s="114"/>
      <c r="N83" s="116"/>
      <c r="O83" s="98"/>
      <c r="P83" s="98"/>
      <c r="Q83" s="113"/>
    </row>
    <row r="84" spans="1:17" ht="48">
      <c r="A84" s="42"/>
      <c r="B84" s="109">
        <v>45</v>
      </c>
      <c r="C84" s="56" t="s">
        <v>244</v>
      </c>
      <c r="D84" s="56" t="s">
        <v>305</v>
      </c>
      <c r="E84" s="110" t="s">
        <v>51</v>
      </c>
      <c r="F84" s="56" t="s">
        <v>59</v>
      </c>
      <c r="G84" s="56" t="s">
        <v>54</v>
      </c>
      <c r="H84" s="110" t="s">
        <v>256</v>
      </c>
      <c r="I84" s="110" t="s">
        <v>235</v>
      </c>
      <c r="J84" s="111" t="s">
        <v>69</v>
      </c>
      <c r="K84" s="111" t="s">
        <v>198</v>
      </c>
      <c r="L84" s="114"/>
      <c r="M84" s="114"/>
      <c r="N84" s="116"/>
      <c r="O84" s="98"/>
      <c r="P84" s="98"/>
      <c r="Q84" s="113"/>
    </row>
    <row r="85" spans="1:17" ht="36">
      <c r="A85" s="42"/>
      <c r="B85" s="109">
        <v>46</v>
      </c>
      <c r="C85" s="56" t="s">
        <v>244</v>
      </c>
      <c r="D85" s="56" t="s">
        <v>306</v>
      </c>
      <c r="E85" s="110" t="s">
        <v>51</v>
      </c>
      <c r="F85" s="56" t="s">
        <v>59</v>
      </c>
      <c r="G85" s="56" t="s">
        <v>54</v>
      </c>
      <c r="H85" s="110" t="s">
        <v>257</v>
      </c>
      <c r="I85" s="110" t="s">
        <v>237</v>
      </c>
      <c r="J85" s="111" t="s">
        <v>218</v>
      </c>
      <c r="K85" s="111" t="s">
        <v>223</v>
      </c>
      <c r="L85" s="114"/>
      <c r="M85" s="114"/>
      <c r="N85" s="116"/>
      <c r="O85" s="98"/>
      <c r="P85" s="98"/>
      <c r="Q85" s="113"/>
    </row>
    <row r="86" spans="1:17" ht="36">
      <c r="A86" s="42"/>
      <c r="B86" s="109">
        <v>47</v>
      </c>
      <c r="C86" s="56" t="s">
        <v>244</v>
      </c>
      <c r="D86" s="56" t="s">
        <v>307</v>
      </c>
      <c r="E86" s="110" t="s">
        <v>51</v>
      </c>
      <c r="F86" s="56" t="s">
        <v>59</v>
      </c>
      <c r="G86" s="56" t="s">
        <v>90</v>
      </c>
      <c r="H86" s="110" t="s">
        <v>258</v>
      </c>
      <c r="I86" s="110" t="s">
        <v>238</v>
      </c>
      <c r="J86" s="111" t="s">
        <v>197</v>
      </c>
      <c r="K86" s="111" t="s">
        <v>124</v>
      </c>
      <c r="L86" s="114"/>
      <c r="M86" s="114"/>
      <c r="N86" s="116"/>
      <c r="O86" s="98"/>
      <c r="P86" s="98"/>
      <c r="Q86" s="113"/>
    </row>
    <row r="87" spans="1:17" ht="36">
      <c r="A87" s="42"/>
      <c r="B87" s="109">
        <v>48</v>
      </c>
      <c r="C87" s="56" t="s">
        <v>244</v>
      </c>
      <c r="D87" s="56" t="s">
        <v>308</v>
      </c>
      <c r="E87" s="110" t="s">
        <v>51</v>
      </c>
      <c r="F87" s="56" t="s">
        <v>59</v>
      </c>
      <c r="G87" s="56" t="s">
        <v>54</v>
      </c>
      <c r="H87" s="110" t="s">
        <v>259</v>
      </c>
      <c r="I87" s="110" t="s">
        <v>233</v>
      </c>
      <c r="J87" s="111" t="s">
        <v>240</v>
      </c>
      <c r="K87" s="111" t="s">
        <v>225</v>
      </c>
      <c r="L87" s="114"/>
      <c r="M87" s="114"/>
      <c r="N87" s="116"/>
      <c r="O87" s="98"/>
      <c r="P87" s="98"/>
      <c r="Q87" s="113"/>
    </row>
    <row r="88" spans="1:17" ht="24">
      <c r="A88" s="42"/>
      <c r="B88" s="109">
        <v>49</v>
      </c>
      <c r="C88" s="56" t="s">
        <v>244</v>
      </c>
      <c r="D88" s="56" t="s">
        <v>309</v>
      </c>
      <c r="E88" s="110" t="s">
        <v>51</v>
      </c>
      <c r="F88" s="56" t="s">
        <v>48</v>
      </c>
      <c r="G88" s="56" t="s">
        <v>54</v>
      </c>
      <c r="H88" s="110" t="s">
        <v>246</v>
      </c>
      <c r="I88" s="110" t="s">
        <v>229</v>
      </c>
      <c r="J88" s="111"/>
      <c r="K88" s="111" t="s">
        <v>64</v>
      </c>
      <c r="L88" s="114"/>
      <c r="M88" s="114"/>
      <c r="N88" s="116"/>
      <c r="O88" s="98"/>
      <c r="P88" s="98"/>
      <c r="Q88" s="113"/>
    </row>
    <row r="89" spans="1:17" ht="36">
      <c r="A89" s="42"/>
      <c r="B89" s="109">
        <v>50</v>
      </c>
      <c r="C89" s="56" t="s">
        <v>244</v>
      </c>
      <c r="D89" s="56" t="s">
        <v>310</v>
      </c>
      <c r="E89" s="110" t="s">
        <v>51</v>
      </c>
      <c r="F89" s="56" t="s">
        <v>48</v>
      </c>
      <c r="G89" s="56" t="s">
        <v>90</v>
      </c>
      <c r="H89" s="110" t="s">
        <v>247</v>
      </c>
      <c r="I89" s="110" t="s">
        <v>234</v>
      </c>
      <c r="J89" s="111" t="s">
        <v>65</v>
      </c>
      <c r="K89" s="111" t="s">
        <v>123</v>
      </c>
      <c r="L89" s="114"/>
      <c r="M89" s="114"/>
      <c r="N89" s="116"/>
      <c r="O89" s="98"/>
      <c r="P89" s="98"/>
      <c r="Q89" s="113"/>
    </row>
    <row r="90" spans="1:17" ht="24">
      <c r="A90" s="42"/>
      <c r="B90" s="109">
        <v>51</v>
      </c>
      <c r="C90" s="56" t="s">
        <v>244</v>
      </c>
      <c r="D90" s="56" t="s">
        <v>311</v>
      </c>
      <c r="E90" s="110" t="s">
        <v>51</v>
      </c>
      <c r="F90" s="56" t="s">
        <v>48</v>
      </c>
      <c r="G90" s="56" t="s">
        <v>90</v>
      </c>
      <c r="H90" s="110" t="s">
        <v>248</v>
      </c>
      <c r="I90" s="110" t="s">
        <v>227</v>
      </c>
      <c r="J90" s="111" t="s">
        <v>218</v>
      </c>
      <c r="K90" s="111" t="s">
        <v>223</v>
      </c>
      <c r="L90" s="114"/>
      <c r="M90" s="114"/>
      <c r="N90" s="116"/>
      <c r="O90" s="98"/>
      <c r="P90" s="98"/>
      <c r="Q90" s="113"/>
    </row>
    <row r="91" spans="1:17" ht="24">
      <c r="A91" s="42"/>
      <c r="B91" s="109">
        <v>52</v>
      </c>
      <c r="C91" s="56" t="s">
        <v>244</v>
      </c>
      <c r="D91" s="56" t="s">
        <v>312</v>
      </c>
      <c r="E91" s="110" t="s">
        <v>51</v>
      </c>
      <c r="F91" s="56" t="s">
        <v>48</v>
      </c>
      <c r="G91" s="56" t="s">
        <v>90</v>
      </c>
      <c r="H91" s="110"/>
      <c r="I91" s="110" t="s">
        <v>228</v>
      </c>
      <c r="J91" s="111" t="s">
        <v>218</v>
      </c>
      <c r="K91" s="111" t="s">
        <v>219</v>
      </c>
      <c r="L91" s="114"/>
      <c r="M91" s="114"/>
      <c r="N91" s="116"/>
      <c r="O91" s="98"/>
      <c r="P91" s="98"/>
      <c r="Q91" s="113"/>
    </row>
    <row r="92" spans="1:17" ht="24">
      <c r="A92" s="42"/>
      <c r="B92" s="109">
        <v>53</v>
      </c>
      <c r="C92" s="56" t="s">
        <v>244</v>
      </c>
      <c r="D92" s="56" t="s">
        <v>313</v>
      </c>
      <c r="E92" s="110" t="s">
        <v>51</v>
      </c>
      <c r="F92" s="56" t="s">
        <v>48</v>
      </c>
      <c r="G92" s="56" t="s">
        <v>90</v>
      </c>
      <c r="H92" s="110"/>
      <c r="I92" s="110" t="s">
        <v>228</v>
      </c>
      <c r="J92" s="110"/>
      <c r="K92" s="110" t="s">
        <v>236</v>
      </c>
      <c r="L92" s="114"/>
      <c r="M92" s="114"/>
      <c r="N92" s="116"/>
      <c r="O92" s="98"/>
      <c r="P92" s="98"/>
      <c r="Q92" s="113"/>
    </row>
    <row r="93" spans="1:17" ht="48">
      <c r="A93" s="42"/>
      <c r="B93" s="109">
        <v>54</v>
      </c>
      <c r="C93" s="56" t="s">
        <v>244</v>
      </c>
      <c r="D93" s="56" t="s">
        <v>314</v>
      </c>
      <c r="E93" s="110" t="s">
        <v>51</v>
      </c>
      <c r="F93" s="56" t="s">
        <v>48</v>
      </c>
      <c r="G93" s="56" t="s">
        <v>54</v>
      </c>
      <c r="H93" s="110" t="s">
        <v>249</v>
      </c>
      <c r="I93" s="110" t="s">
        <v>230</v>
      </c>
      <c r="J93" s="111" t="s">
        <v>66</v>
      </c>
      <c r="K93" s="111" t="s">
        <v>217</v>
      </c>
      <c r="L93" s="114"/>
      <c r="M93" s="114"/>
      <c r="N93" s="116"/>
      <c r="O93" s="98"/>
      <c r="P93" s="98"/>
      <c r="Q93" s="113"/>
    </row>
    <row r="94" spans="1:17" ht="48">
      <c r="A94" s="42"/>
      <c r="B94" s="109">
        <v>55</v>
      </c>
      <c r="C94" s="56" t="s">
        <v>244</v>
      </c>
      <c r="D94" s="56" t="s">
        <v>315</v>
      </c>
      <c r="E94" s="110" t="s">
        <v>51</v>
      </c>
      <c r="F94" s="56" t="s">
        <v>48</v>
      </c>
      <c r="G94" s="56" t="s">
        <v>90</v>
      </c>
      <c r="H94" s="110"/>
      <c r="I94" s="110" t="s">
        <v>230</v>
      </c>
      <c r="J94" s="110"/>
      <c r="K94" s="110" t="s">
        <v>216</v>
      </c>
      <c r="L94" s="114"/>
      <c r="M94" s="114"/>
      <c r="N94" s="116"/>
      <c r="O94" s="98"/>
      <c r="P94" s="98"/>
      <c r="Q94" s="113"/>
    </row>
    <row r="95" spans="1:17" ht="36">
      <c r="A95" s="42"/>
      <c r="B95" s="109">
        <v>56</v>
      </c>
      <c r="C95" s="56" t="s">
        <v>244</v>
      </c>
      <c r="D95" s="56" t="s">
        <v>316</v>
      </c>
      <c r="E95" s="110" t="s">
        <v>51</v>
      </c>
      <c r="F95" s="56" t="s">
        <v>48</v>
      </c>
      <c r="G95" s="56" t="s">
        <v>54</v>
      </c>
      <c r="H95" s="110" t="s">
        <v>250</v>
      </c>
      <c r="I95" s="110" t="s">
        <v>231</v>
      </c>
      <c r="J95" s="111" t="s">
        <v>333</v>
      </c>
      <c r="K95" s="111" t="s">
        <v>125</v>
      </c>
      <c r="L95" s="114"/>
      <c r="M95" s="114"/>
      <c r="N95" s="116"/>
      <c r="O95" s="98"/>
      <c r="P95" s="98"/>
      <c r="Q95" s="113"/>
    </row>
    <row r="96" spans="1:17" ht="36">
      <c r="A96" s="42"/>
      <c r="B96" s="109">
        <v>57</v>
      </c>
      <c r="C96" s="56" t="s">
        <v>244</v>
      </c>
      <c r="D96" s="56" t="s">
        <v>317</v>
      </c>
      <c r="E96" s="110" t="s">
        <v>51</v>
      </c>
      <c r="F96" s="56" t="s">
        <v>48</v>
      </c>
      <c r="G96" s="56" t="s">
        <v>90</v>
      </c>
      <c r="H96" s="110" t="s">
        <v>251</v>
      </c>
      <c r="I96" s="110" t="s">
        <v>334</v>
      </c>
      <c r="J96" s="111"/>
      <c r="K96" s="111" t="s">
        <v>124</v>
      </c>
      <c r="L96" s="114"/>
      <c r="M96" s="114"/>
      <c r="N96" s="116"/>
      <c r="O96" s="98"/>
      <c r="P96" s="98"/>
      <c r="Q96" s="113"/>
    </row>
    <row r="97" spans="1:17" ht="36">
      <c r="A97" s="42"/>
      <c r="B97" s="109">
        <v>58</v>
      </c>
      <c r="C97" s="56" t="s">
        <v>244</v>
      </c>
      <c r="D97" s="56" t="s">
        <v>318</v>
      </c>
      <c r="E97" s="110" t="s">
        <v>51</v>
      </c>
      <c r="F97" s="56" t="s">
        <v>48</v>
      </c>
      <c r="G97" s="56" t="s">
        <v>54</v>
      </c>
      <c r="H97" s="110" t="s">
        <v>252</v>
      </c>
      <c r="I97" s="110" t="s">
        <v>233</v>
      </c>
      <c r="J97" s="111" t="s">
        <v>239</v>
      </c>
      <c r="K97" s="111" t="s">
        <v>224</v>
      </c>
      <c r="L97" s="114"/>
      <c r="M97" s="114"/>
      <c r="N97" s="116"/>
      <c r="O97" s="98"/>
      <c r="P97" s="98"/>
      <c r="Q97" s="113"/>
    </row>
    <row r="98" spans="1:17" ht="24">
      <c r="A98" s="42"/>
      <c r="B98" s="109">
        <v>59</v>
      </c>
      <c r="C98" s="56" t="s">
        <v>244</v>
      </c>
      <c r="D98" s="56" t="s">
        <v>319</v>
      </c>
      <c r="E98" s="110" t="s">
        <v>51</v>
      </c>
      <c r="F98" s="56" t="s">
        <v>48</v>
      </c>
      <c r="G98" s="56" t="s">
        <v>90</v>
      </c>
      <c r="H98" s="110" t="s">
        <v>253</v>
      </c>
      <c r="I98" s="110" t="s">
        <v>255</v>
      </c>
      <c r="J98" s="111"/>
      <c r="K98" s="111" t="s">
        <v>75</v>
      </c>
      <c r="L98" s="114"/>
      <c r="M98" s="114"/>
      <c r="N98" s="116"/>
      <c r="O98" s="98"/>
      <c r="P98" s="98"/>
      <c r="Q98" s="113"/>
    </row>
    <row r="99" spans="1:17" ht="36">
      <c r="A99" s="42"/>
      <c r="B99" s="109">
        <v>60</v>
      </c>
      <c r="C99" s="56" t="s">
        <v>244</v>
      </c>
      <c r="D99" s="56" t="s">
        <v>320</v>
      </c>
      <c r="E99" s="110" t="s">
        <v>51</v>
      </c>
      <c r="F99" s="56" t="s">
        <v>48</v>
      </c>
      <c r="G99" s="56" t="s">
        <v>90</v>
      </c>
      <c r="H99" s="110" t="s">
        <v>254</v>
      </c>
      <c r="I99" s="110" t="s">
        <v>234</v>
      </c>
      <c r="J99" s="111" t="s">
        <v>65</v>
      </c>
      <c r="K99" s="111" t="s">
        <v>123</v>
      </c>
      <c r="L99" s="114"/>
      <c r="M99" s="114"/>
      <c r="N99" s="116"/>
      <c r="O99" s="98"/>
      <c r="P99" s="98"/>
      <c r="Q99" s="113"/>
    </row>
    <row r="100" spans="1:17" ht="48">
      <c r="A100" s="42"/>
      <c r="B100" s="109">
        <v>61</v>
      </c>
      <c r="C100" s="56" t="s">
        <v>244</v>
      </c>
      <c r="D100" s="56" t="s">
        <v>321</v>
      </c>
      <c r="E100" s="110" t="s">
        <v>51</v>
      </c>
      <c r="F100" s="56" t="s">
        <v>48</v>
      </c>
      <c r="G100" s="56" t="s">
        <v>54</v>
      </c>
      <c r="H100" s="110" t="s">
        <v>256</v>
      </c>
      <c r="I100" s="110" t="s">
        <v>235</v>
      </c>
      <c r="J100" s="111" t="s">
        <v>69</v>
      </c>
      <c r="K100" s="111" t="s">
        <v>198</v>
      </c>
      <c r="L100" s="114"/>
      <c r="M100" s="114"/>
      <c r="N100" s="116"/>
      <c r="O100" s="98"/>
      <c r="P100" s="98"/>
      <c r="Q100" s="113"/>
    </row>
    <row r="101" spans="1:17" ht="36">
      <c r="A101" s="42"/>
      <c r="B101" s="109">
        <v>62</v>
      </c>
      <c r="C101" s="56" t="s">
        <v>244</v>
      </c>
      <c r="D101" s="56" t="s">
        <v>322</v>
      </c>
      <c r="E101" s="110" t="s">
        <v>51</v>
      </c>
      <c r="F101" s="56" t="s">
        <v>48</v>
      </c>
      <c r="G101" s="56" t="s">
        <v>54</v>
      </c>
      <c r="H101" s="110" t="s">
        <v>257</v>
      </c>
      <c r="I101" s="110" t="s">
        <v>237</v>
      </c>
      <c r="J101" s="111" t="s">
        <v>218</v>
      </c>
      <c r="K101" s="111" t="s">
        <v>223</v>
      </c>
      <c r="L101" s="114"/>
      <c r="M101" s="114"/>
      <c r="N101" s="116"/>
      <c r="O101" s="98"/>
      <c r="P101" s="98"/>
      <c r="Q101" s="113"/>
    </row>
    <row r="102" spans="1:17" ht="36">
      <c r="A102" s="42"/>
      <c r="B102" s="109">
        <v>63</v>
      </c>
      <c r="C102" s="56" t="s">
        <v>244</v>
      </c>
      <c r="D102" s="56" t="s">
        <v>323</v>
      </c>
      <c r="E102" s="110" t="s">
        <v>51</v>
      </c>
      <c r="F102" s="56" t="s">
        <v>48</v>
      </c>
      <c r="G102" s="56" t="s">
        <v>90</v>
      </c>
      <c r="H102" s="110" t="s">
        <v>258</v>
      </c>
      <c r="I102" s="110" t="s">
        <v>238</v>
      </c>
      <c r="J102" s="111" t="s">
        <v>197</v>
      </c>
      <c r="K102" s="111" t="s">
        <v>124</v>
      </c>
      <c r="L102" s="114"/>
      <c r="M102" s="114"/>
      <c r="N102" s="116"/>
      <c r="O102" s="98"/>
      <c r="P102" s="98"/>
      <c r="Q102" s="113"/>
    </row>
    <row r="103" spans="1:17" ht="36">
      <c r="A103" s="42"/>
      <c r="B103" s="109">
        <v>64</v>
      </c>
      <c r="C103" s="56" t="s">
        <v>244</v>
      </c>
      <c r="D103" s="56" t="s">
        <v>324</v>
      </c>
      <c r="E103" s="110" t="s">
        <v>51</v>
      </c>
      <c r="F103" s="56" t="s">
        <v>48</v>
      </c>
      <c r="G103" s="56" t="s">
        <v>54</v>
      </c>
      <c r="H103" s="110" t="s">
        <v>259</v>
      </c>
      <c r="I103" s="110" t="s">
        <v>233</v>
      </c>
      <c r="J103" s="111" t="s">
        <v>240</v>
      </c>
      <c r="K103" s="111" t="s">
        <v>225</v>
      </c>
      <c r="L103" s="114"/>
      <c r="M103" s="114"/>
      <c r="N103" s="116"/>
      <c r="O103" s="98"/>
      <c r="P103" s="98"/>
      <c r="Q103" s="113"/>
    </row>
    <row r="104" spans="1:17" ht="36">
      <c r="A104" s="42"/>
      <c r="B104" s="109">
        <v>65</v>
      </c>
      <c r="C104" s="56" t="s">
        <v>226</v>
      </c>
      <c r="D104" s="56" t="s">
        <v>325</v>
      </c>
      <c r="E104" s="115" t="s">
        <v>60</v>
      </c>
      <c r="F104" s="116" t="s">
        <v>49</v>
      </c>
      <c r="G104" s="56" t="s">
        <v>54</v>
      </c>
      <c r="H104" s="98" t="s">
        <v>62</v>
      </c>
      <c r="I104" s="117" t="s">
        <v>353</v>
      </c>
      <c r="J104" s="115"/>
      <c r="K104" s="115" t="s">
        <v>242</v>
      </c>
      <c r="L104" s="114"/>
      <c r="M104" s="114"/>
      <c r="N104" s="116"/>
      <c r="O104" s="98"/>
      <c r="P104" s="98"/>
      <c r="Q104" s="113"/>
    </row>
    <row r="105" spans="1:17" ht="24">
      <c r="A105" s="42"/>
      <c r="B105" s="109">
        <v>66</v>
      </c>
      <c r="C105" s="56" t="s">
        <v>226</v>
      </c>
      <c r="D105" s="56" t="s">
        <v>326</v>
      </c>
      <c r="E105" s="115" t="s">
        <v>60</v>
      </c>
      <c r="F105" s="116" t="s">
        <v>49</v>
      </c>
      <c r="G105" s="56" t="s">
        <v>54</v>
      </c>
      <c r="H105" s="98" t="s">
        <v>61</v>
      </c>
      <c r="I105" s="117" t="s">
        <v>354</v>
      </c>
      <c r="J105" s="115"/>
      <c r="K105" s="115" t="s">
        <v>243</v>
      </c>
      <c r="L105" s="114"/>
      <c r="M105" s="114"/>
      <c r="N105" s="116"/>
      <c r="O105" s="98"/>
      <c r="P105" s="98"/>
      <c r="Q105" s="113"/>
    </row>
    <row r="106" spans="1:17" ht="36">
      <c r="A106" s="42"/>
      <c r="B106" s="109">
        <v>67</v>
      </c>
      <c r="C106" s="56" t="s">
        <v>226</v>
      </c>
      <c r="D106" s="56" t="s">
        <v>327</v>
      </c>
      <c r="E106" s="115" t="s">
        <v>60</v>
      </c>
      <c r="F106" s="116" t="s">
        <v>49</v>
      </c>
      <c r="G106" s="56" t="s">
        <v>54</v>
      </c>
      <c r="H106" s="98" t="s">
        <v>63</v>
      </c>
      <c r="I106" s="117" t="s">
        <v>357</v>
      </c>
      <c r="J106" s="115"/>
      <c r="K106" s="115" t="s">
        <v>222</v>
      </c>
      <c r="L106" s="114"/>
      <c r="M106" s="114"/>
      <c r="N106" s="116"/>
      <c r="O106" s="98"/>
      <c r="P106" s="98"/>
      <c r="Q106" s="113"/>
    </row>
    <row r="107" spans="1:17" ht="36">
      <c r="A107" s="42"/>
      <c r="B107" s="109">
        <v>68</v>
      </c>
      <c r="C107" s="56" t="s">
        <v>226</v>
      </c>
      <c r="D107" s="56" t="s">
        <v>328</v>
      </c>
      <c r="E107" s="115" t="s">
        <v>60</v>
      </c>
      <c r="F107" s="116" t="s">
        <v>49</v>
      </c>
      <c r="G107" s="56" t="s">
        <v>54</v>
      </c>
      <c r="H107" s="98"/>
      <c r="I107" s="117" t="s">
        <v>355</v>
      </c>
      <c r="J107" s="115"/>
      <c r="K107" s="115" t="s">
        <v>245</v>
      </c>
      <c r="L107" s="114"/>
      <c r="M107" s="114"/>
      <c r="N107" s="116"/>
      <c r="O107" s="98"/>
      <c r="P107" s="98"/>
      <c r="Q107" s="113"/>
    </row>
    <row r="108" spans="1:17" ht="24">
      <c r="A108" s="42"/>
      <c r="B108" s="109">
        <v>69</v>
      </c>
      <c r="C108" s="56" t="s">
        <v>226</v>
      </c>
      <c r="D108" s="56" t="s">
        <v>329</v>
      </c>
      <c r="E108" s="115" t="s">
        <v>60</v>
      </c>
      <c r="F108" s="116" t="s">
        <v>49</v>
      </c>
      <c r="G108" s="56" t="s">
        <v>54</v>
      </c>
      <c r="H108" s="98"/>
      <c r="I108" s="117" t="s">
        <v>355</v>
      </c>
      <c r="J108" s="115" t="s">
        <v>70</v>
      </c>
      <c r="K108" s="115" t="s">
        <v>126</v>
      </c>
      <c r="L108" s="114"/>
      <c r="M108" s="114"/>
      <c r="N108" s="116"/>
      <c r="O108" s="98"/>
      <c r="P108" s="98"/>
      <c r="Q108" s="113"/>
    </row>
    <row r="109" spans="1:17" ht="24">
      <c r="A109" s="42"/>
      <c r="B109" s="118">
        <v>70</v>
      </c>
      <c r="C109" s="56" t="s">
        <v>226</v>
      </c>
      <c r="D109" s="119" t="s">
        <v>330</v>
      </c>
      <c r="E109" s="120" t="s">
        <v>60</v>
      </c>
      <c r="F109" s="121" t="s">
        <v>49</v>
      </c>
      <c r="G109" s="119" t="s">
        <v>54</v>
      </c>
      <c r="H109" s="122"/>
      <c r="I109" s="123" t="s">
        <v>356</v>
      </c>
      <c r="J109" s="120" t="s">
        <v>71</v>
      </c>
      <c r="K109" s="120" t="s">
        <v>126</v>
      </c>
      <c r="L109" s="124"/>
      <c r="M109" s="124"/>
      <c r="N109" s="116"/>
      <c r="O109" s="122"/>
      <c r="P109" s="122"/>
      <c r="Q109" s="125"/>
    </row>
  </sheetData>
  <mergeCells count="7">
    <mergeCell ref="C2:K2"/>
    <mergeCell ref="B35:K35"/>
    <mergeCell ref="B34:K34"/>
    <mergeCell ref="B36:K36"/>
    <mergeCell ref="B37:K37"/>
    <mergeCell ref="B4:K4"/>
    <mergeCell ref="B5:K33"/>
  </mergeCells>
  <phoneticPr fontId="3" type="noConversion"/>
  <dataValidations count="1">
    <dataValidation type="list" allowBlank="1" showInputMessage="1" showErrorMessage="1" sqref="N40:N109" xr:uid="{68ED8706-41B9-4C7E-AD72-3E336587D765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4" orientation="landscape" verticalDpi="4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E4B2-FE33-4B0A-8934-166CB9DB1BAA}">
  <sheetPr>
    <pageSetUpPr fitToPage="1"/>
  </sheetPr>
  <dimension ref="A1:Q119"/>
  <sheetViews>
    <sheetView zoomScaleNormal="100" workbookViewId="0">
      <selection activeCell="N40" sqref="N40"/>
    </sheetView>
  </sheetViews>
  <sheetFormatPr defaultColWidth="8.88671875" defaultRowHeight="13.5"/>
  <cols>
    <col min="1" max="1" width="2.6640625" style="36" customWidth="1"/>
    <col min="2" max="2" width="7.109375" style="38" customWidth="1"/>
    <col min="3" max="4" width="10.21875" style="38" customWidth="1"/>
    <col min="5" max="5" width="13.6640625" style="38" customWidth="1"/>
    <col min="6" max="7" width="5.6640625" style="38" customWidth="1"/>
    <col min="8" max="8" width="15.6640625" style="38" customWidth="1"/>
    <col min="9" max="9" width="25.6640625" style="38" customWidth="1"/>
    <col min="10" max="10" width="15.6640625" style="36" customWidth="1"/>
    <col min="11" max="11" width="31.88671875" style="36" customWidth="1"/>
    <col min="12" max="13" width="8.6640625" style="36" customWidth="1"/>
    <col min="14" max="14" width="9.109375" style="38" customWidth="1"/>
    <col min="15" max="15" width="30.6640625" style="36" customWidth="1"/>
    <col min="16" max="16" width="10.5546875" style="36" bestFit="1" customWidth="1"/>
    <col min="17" max="16384" width="8.88671875" style="36"/>
  </cols>
  <sheetData>
    <row r="1" spans="1:16" ht="66" customHeight="1">
      <c r="B1" s="39"/>
      <c r="C1" s="39"/>
      <c r="D1" s="39"/>
      <c r="E1" s="39"/>
      <c r="F1" s="40"/>
      <c r="G1" s="40"/>
      <c r="H1" s="40"/>
      <c r="I1" s="40"/>
      <c r="J1" s="41"/>
      <c r="K1" s="41"/>
    </row>
    <row r="2" spans="1:16" ht="59.65" customHeight="1">
      <c r="A2" s="42"/>
      <c r="B2" s="59" t="s">
        <v>210</v>
      </c>
      <c r="C2" s="88" t="s">
        <v>207</v>
      </c>
      <c r="D2" s="89"/>
      <c r="E2" s="89"/>
      <c r="F2" s="89"/>
      <c r="G2" s="89"/>
      <c r="H2" s="89"/>
      <c r="I2" s="89"/>
      <c r="J2" s="89"/>
      <c r="K2" s="90"/>
      <c r="L2" s="30"/>
      <c r="M2" s="45"/>
      <c r="N2" s="160"/>
      <c r="O2" s="45"/>
      <c r="P2" s="45"/>
    </row>
    <row r="3" spans="1:16" ht="7.5" customHeight="1">
      <c r="B3" s="54"/>
      <c r="C3" s="54"/>
      <c r="D3" s="54"/>
      <c r="E3" s="54"/>
      <c r="F3" s="51"/>
      <c r="G3" s="51"/>
      <c r="H3" s="51"/>
      <c r="I3" s="51"/>
      <c r="J3" s="52"/>
      <c r="K3" s="52"/>
      <c r="L3" s="25"/>
    </row>
    <row r="4" spans="1:16">
      <c r="A4" s="42"/>
      <c r="B4" s="93" t="s">
        <v>37</v>
      </c>
      <c r="C4" s="93"/>
      <c r="D4" s="93"/>
      <c r="E4" s="93"/>
      <c r="F4" s="93"/>
      <c r="G4" s="93"/>
      <c r="H4" s="93"/>
      <c r="I4" s="93"/>
      <c r="J4" s="93"/>
      <c r="K4" s="93"/>
      <c r="L4" s="29"/>
    </row>
    <row r="5" spans="1:16" s="45" customFormat="1">
      <c r="A5" s="44"/>
      <c r="B5" s="94"/>
      <c r="C5" s="94"/>
      <c r="D5" s="94"/>
      <c r="E5" s="94"/>
      <c r="F5" s="94"/>
      <c r="G5" s="94"/>
      <c r="H5" s="94"/>
      <c r="I5" s="94"/>
      <c r="J5" s="94"/>
      <c r="K5" s="94"/>
      <c r="L5" s="30"/>
      <c r="N5" s="160"/>
    </row>
    <row r="6" spans="1:16" s="45" customFormat="1">
      <c r="A6" s="44"/>
      <c r="B6" s="94"/>
      <c r="C6" s="94"/>
      <c r="D6" s="94"/>
      <c r="E6" s="94"/>
      <c r="F6" s="94"/>
      <c r="G6" s="94"/>
      <c r="H6" s="94"/>
      <c r="I6" s="94"/>
      <c r="J6" s="94"/>
      <c r="K6" s="94"/>
      <c r="L6" s="30"/>
      <c r="N6" s="160"/>
    </row>
    <row r="7" spans="1:16" s="45" customFormat="1">
      <c r="A7" s="44"/>
      <c r="B7" s="94"/>
      <c r="C7" s="94"/>
      <c r="D7" s="94"/>
      <c r="E7" s="94"/>
      <c r="F7" s="94"/>
      <c r="G7" s="94"/>
      <c r="H7" s="94"/>
      <c r="I7" s="94"/>
      <c r="J7" s="94"/>
      <c r="K7" s="94"/>
      <c r="L7" s="30"/>
      <c r="N7" s="160"/>
    </row>
    <row r="8" spans="1:16" s="45" customFormat="1">
      <c r="A8" s="44"/>
      <c r="B8" s="94"/>
      <c r="C8" s="94"/>
      <c r="D8" s="94"/>
      <c r="E8" s="94"/>
      <c r="F8" s="94"/>
      <c r="G8" s="94"/>
      <c r="H8" s="94"/>
      <c r="I8" s="94"/>
      <c r="J8" s="94"/>
      <c r="K8" s="94"/>
      <c r="L8" s="30"/>
      <c r="N8" s="160"/>
    </row>
    <row r="9" spans="1:16" s="45" customFormat="1">
      <c r="A9" s="44"/>
      <c r="B9" s="94"/>
      <c r="C9" s="94"/>
      <c r="D9" s="94"/>
      <c r="E9" s="94"/>
      <c r="F9" s="94"/>
      <c r="G9" s="94"/>
      <c r="H9" s="94"/>
      <c r="I9" s="94"/>
      <c r="J9" s="94"/>
      <c r="K9" s="94"/>
      <c r="L9" s="30"/>
      <c r="N9" s="160"/>
    </row>
    <row r="10" spans="1:16" s="45" customFormat="1">
      <c r="A10" s="4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30"/>
      <c r="N10" s="160"/>
    </row>
    <row r="11" spans="1:16" s="45" customFormat="1">
      <c r="A11" s="4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30"/>
      <c r="N11" s="160"/>
    </row>
    <row r="12" spans="1:16" s="45" customFormat="1">
      <c r="A12" s="4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30"/>
      <c r="N12" s="160"/>
    </row>
    <row r="13" spans="1:16" s="45" customFormat="1">
      <c r="A13" s="4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30"/>
      <c r="N13" s="160"/>
    </row>
    <row r="14" spans="1:16" s="45" customFormat="1">
      <c r="A14" s="4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30"/>
      <c r="N14" s="160"/>
    </row>
    <row r="15" spans="1:16" s="45" customFormat="1">
      <c r="A15" s="4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30"/>
      <c r="N15" s="160"/>
    </row>
    <row r="16" spans="1:16" s="45" customFormat="1">
      <c r="A16" s="4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30"/>
      <c r="N16" s="160"/>
    </row>
    <row r="17" spans="1:14" s="45" customFormat="1">
      <c r="A17" s="4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30"/>
      <c r="N17" s="160"/>
    </row>
    <row r="18" spans="1:14" s="45" customFormat="1">
      <c r="A18" s="4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30"/>
      <c r="N18" s="160"/>
    </row>
    <row r="19" spans="1:14" s="45" customFormat="1">
      <c r="A19" s="4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30"/>
      <c r="N19" s="160"/>
    </row>
    <row r="20" spans="1:14" s="45" customFormat="1">
      <c r="A20" s="4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30"/>
      <c r="N20" s="160"/>
    </row>
    <row r="21" spans="1:14" s="45" customFormat="1">
      <c r="A21" s="4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30"/>
      <c r="N21" s="160"/>
    </row>
    <row r="22" spans="1:14" s="45" customFormat="1">
      <c r="A22" s="4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30"/>
      <c r="N22" s="160"/>
    </row>
    <row r="23" spans="1:14" s="45" customFormat="1">
      <c r="A23" s="4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30"/>
      <c r="N23" s="160"/>
    </row>
    <row r="24" spans="1:14" s="45" customFormat="1">
      <c r="A24" s="4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30"/>
      <c r="N24" s="160"/>
    </row>
    <row r="25" spans="1:14" s="45" customFormat="1">
      <c r="A25" s="4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30"/>
      <c r="N25" s="160"/>
    </row>
    <row r="26" spans="1:14" s="45" customFormat="1">
      <c r="A26" s="4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30"/>
      <c r="N26" s="160"/>
    </row>
    <row r="27" spans="1:14" s="45" customFormat="1">
      <c r="A27" s="4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30"/>
      <c r="N27" s="160"/>
    </row>
    <row r="28" spans="1:14" s="45" customFormat="1">
      <c r="A28" s="4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30"/>
      <c r="N28" s="160"/>
    </row>
    <row r="29" spans="1:14">
      <c r="A29" s="42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29"/>
    </row>
    <row r="30" spans="1:14">
      <c r="A30" s="4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29"/>
    </row>
    <row r="31" spans="1:14">
      <c r="A31" s="42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29"/>
    </row>
    <row r="32" spans="1:14">
      <c r="A32" s="42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9"/>
    </row>
    <row r="33" spans="1:17">
      <c r="A33" s="42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9"/>
    </row>
    <row r="34" spans="1:17">
      <c r="A34" s="42"/>
      <c r="B34" s="93" t="s">
        <v>26</v>
      </c>
      <c r="C34" s="93"/>
      <c r="D34" s="93"/>
      <c r="E34" s="93"/>
      <c r="F34" s="93"/>
      <c r="G34" s="93"/>
      <c r="H34" s="93"/>
      <c r="I34" s="93"/>
      <c r="J34" s="93"/>
      <c r="K34" s="93"/>
      <c r="L34" s="29"/>
    </row>
    <row r="35" spans="1:17" ht="74.45" customHeight="1">
      <c r="A35" s="42"/>
      <c r="B35" s="91" t="s">
        <v>589</v>
      </c>
      <c r="C35" s="95"/>
      <c r="D35" s="95"/>
      <c r="E35" s="96"/>
      <c r="F35" s="96"/>
      <c r="G35" s="96"/>
      <c r="H35" s="96"/>
      <c r="I35" s="96"/>
      <c r="J35" s="96"/>
      <c r="K35" s="96"/>
      <c r="L35" s="29"/>
    </row>
    <row r="36" spans="1:17">
      <c r="A36" s="42"/>
      <c r="B36" s="93" t="s">
        <v>38</v>
      </c>
      <c r="C36" s="93"/>
      <c r="D36" s="93"/>
      <c r="E36" s="93"/>
      <c r="F36" s="93"/>
      <c r="G36" s="93"/>
      <c r="H36" s="93"/>
      <c r="I36" s="93"/>
      <c r="J36" s="93"/>
      <c r="K36" s="93"/>
      <c r="L36" s="29"/>
    </row>
    <row r="37" spans="1:17" ht="30" customHeight="1">
      <c r="A37" s="42"/>
      <c r="B37" s="92" t="s">
        <v>146</v>
      </c>
      <c r="C37" s="92"/>
      <c r="D37" s="92"/>
      <c r="E37" s="92"/>
      <c r="F37" s="92"/>
      <c r="G37" s="92"/>
      <c r="H37" s="92"/>
      <c r="I37" s="92"/>
      <c r="J37" s="92"/>
      <c r="K37" s="92"/>
      <c r="L37" s="29"/>
    </row>
    <row r="38" spans="1:17" ht="10.15" customHeight="1">
      <c r="B38" s="54"/>
      <c r="C38" s="54"/>
      <c r="D38" s="54"/>
      <c r="E38" s="54"/>
      <c r="F38" s="51"/>
      <c r="G38" s="51"/>
      <c r="H38" s="51"/>
      <c r="I38" s="51"/>
      <c r="J38" s="52"/>
      <c r="K38" s="52"/>
      <c r="L38" s="32"/>
      <c r="M38" s="41"/>
      <c r="N38" s="40"/>
      <c r="O38" s="41"/>
      <c r="P38" s="41"/>
      <c r="Q38" s="41"/>
    </row>
    <row r="39" spans="1:17" ht="15" customHeight="1">
      <c r="A39" s="42"/>
      <c r="B39" s="105" t="s">
        <v>196</v>
      </c>
      <c r="C39" s="106" t="s">
        <v>352</v>
      </c>
      <c r="D39" s="106" t="s">
        <v>19</v>
      </c>
      <c r="E39" s="106" t="s">
        <v>40</v>
      </c>
      <c r="F39" s="106" t="s">
        <v>27</v>
      </c>
      <c r="G39" s="106" t="s">
        <v>28</v>
      </c>
      <c r="H39" s="106" t="s">
        <v>29</v>
      </c>
      <c r="I39" s="106" t="s">
        <v>41</v>
      </c>
      <c r="J39" s="106" t="s">
        <v>30</v>
      </c>
      <c r="K39" s="106" t="s">
        <v>31</v>
      </c>
      <c r="L39" s="106" t="s">
        <v>32</v>
      </c>
      <c r="M39" s="107" t="s">
        <v>33</v>
      </c>
      <c r="N39" s="107" t="s">
        <v>34</v>
      </c>
      <c r="O39" s="107" t="s">
        <v>35</v>
      </c>
      <c r="P39" s="107" t="s">
        <v>39</v>
      </c>
      <c r="Q39" s="108" t="s">
        <v>36</v>
      </c>
    </row>
    <row r="40" spans="1:17" ht="36">
      <c r="A40" s="42"/>
      <c r="B40" s="109">
        <v>1</v>
      </c>
      <c r="C40" s="56" t="s">
        <v>226</v>
      </c>
      <c r="D40" s="56" t="s">
        <v>383</v>
      </c>
      <c r="E40" s="56" t="s">
        <v>335</v>
      </c>
      <c r="F40" s="56" t="s">
        <v>72</v>
      </c>
      <c r="G40" s="56" t="s">
        <v>73</v>
      </c>
      <c r="H40" s="57" t="s">
        <v>336</v>
      </c>
      <c r="I40" s="57" t="s">
        <v>341</v>
      </c>
      <c r="J40" s="126"/>
      <c r="K40" s="126" t="s">
        <v>64</v>
      </c>
      <c r="L40" s="112"/>
      <c r="M40" s="127"/>
      <c r="N40" s="116"/>
      <c r="O40" s="128"/>
      <c r="P40" s="128"/>
      <c r="Q40" s="129"/>
    </row>
    <row r="41" spans="1:17" ht="36">
      <c r="A41" s="42"/>
      <c r="B41" s="109">
        <v>2</v>
      </c>
      <c r="C41" s="56" t="s">
        <v>226</v>
      </c>
      <c r="D41" s="56" t="s">
        <v>396</v>
      </c>
      <c r="E41" s="56" t="s">
        <v>335</v>
      </c>
      <c r="F41" s="56" t="s">
        <v>72</v>
      </c>
      <c r="G41" s="56" t="s">
        <v>92</v>
      </c>
      <c r="H41" s="57" t="s">
        <v>55</v>
      </c>
      <c r="I41" s="57" t="s">
        <v>344</v>
      </c>
      <c r="J41" s="126" t="s">
        <v>65</v>
      </c>
      <c r="K41" s="126" t="s">
        <v>122</v>
      </c>
      <c r="L41" s="112"/>
      <c r="M41" s="127"/>
      <c r="N41" s="116"/>
      <c r="O41" s="128"/>
      <c r="P41" s="128"/>
      <c r="Q41" s="129"/>
    </row>
    <row r="42" spans="1:17" ht="24">
      <c r="A42" s="42"/>
      <c r="B42" s="109">
        <v>3</v>
      </c>
      <c r="C42" s="56" t="s">
        <v>226</v>
      </c>
      <c r="D42" s="56" t="s">
        <v>397</v>
      </c>
      <c r="E42" s="56" t="s">
        <v>335</v>
      </c>
      <c r="F42" s="56" t="s">
        <v>72</v>
      </c>
      <c r="G42" s="56" t="s">
        <v>92</v>
      </c>
      <c r="H42" s="57" t="s">
        <v>74</v>
      </c>
      <c r="I42" s="57" t="s">
        <v>345</v>
      </c>
      <c r="J42" s="126"/>
      <c r="K42" s="126" t="s">
        <v>127</v>
      </c>
      <c r="L42" s="112"/>
      <c r="M42" s="127"/>
      <c r="N42" s="116"/>
      <c r="O42" s="128"/>
      <c r="P42" s="128"/>
      <c r="Q42" s="129"/>
    </row>
    <row r="43" spans="1:17" ht="36">
      <c r="A43" s="42"/>
      <c r="B43" s="109">
        <v>4</v>
      </c>
      <c r="C43" s="56" t="s">
        <v>226</v>
      </c>
      <c r="D43" s="56" t="s">
        <v>398</v>
      </c>
      <c r="E43" s="56" t="s">
        <v>335</v>
      </c>
      <c r="F43" s="56" t="s">
        <v>72</v>
      </c>
      <c r="G43" s="56" t="s">
        <v>73</v>
      </c>
      <c r="H43" s="57" t="s">
        <v>57</v>
      </c>
      <c r="I43" s="57" t="s">
        <v>342</v>
      </c>
      <c r="J43" s="126" t="s">
        <v>68</v>
      </c>
      <c r="K43" s="126" t="s">
        <v>128</v>
      </c>
      <c r="L43" s="112"/>
      <c r="M43" s="127"/>
      <c r="N43" s="116"/>
      <c r="O43" s="128"/>
      <c r="P43" s="128"/>
      <c r="Q43" s="129"/>
    </row>
    <row r="44" spans="1:17" ht="24">
      <c r="A44" s="42"/>
      <c r="B44" s="109">
        <v>5</v>
      </c>
      <c r="C44" s="56" t="s">
        <v>226</v>
      </c>
      <c r="D44" s="56" t="s">
        <v>399</v>
      </c>
      <c r="E44" s="56" t="s">
        <v>335</v>
      </c>
      <c r="F44" s="116" t="s">
        <v>49</v>
      </c>
      <c r="G44" s="56" t="s">
        <v>54</v>
      </c>
      <c r="H44" s="58" t="s">
        <v>359</v>
      </c>
      <c r="I44" s="130" t="s">
        <v>358</v>
      </c>
      <c r="J44" s="58"/>
      <c r="K44" s="58" t="s">
        <v>360</v>
      </c>
      <c r="L44" s="112"/>
      <c r="M44" s="127"/>
      <c r="N44" s="116"/>
      <c r="O44" s="128"/>
      <c r="P44" s="128"/>
      <c r="Q44" s="129"/>
    </row>
    <row r="45" spans="1:17" ht="36">
      <c r="A45" s="42"/>
      <c r="B45" s="109">
        <v>6</v>
      </c>
      <c r="C45" s="56" t="s">
        <v>226</v>
      </c>
      <c r="D45" s="56" t="s">
        <v>400</v>
      </c>
      <c r="E45" s="56" t="s">
        <v>335</v>
      </c>
      <c r="F45" s="56" t="s">
        <v>72</v>
      </c>
      <c r="G45" s="56" t="s">
        <v>73</v>
      </c>
      <c r="H45" s="57" t="s">
        <v>337</v>
      </c>
      <c r="I45" s="57" t="s">
        <v>343</v>
      </c>
      <c r="J45" s="126"/>
      <c r="K45" s="126" t="s">
        <v>64</v>
      </c>
      <c r="L45" s="112"/>
      <c r="M45" s="127"/>
      <c r="N45" s="116"/>
      <c r="O45" s="128"/>
      <c r="P45" s="128"/>
      <c r="Q45" s="129"/>
    </row>
    <row r="46" spans="1:17" ht="36">
      <c r="A46" s="42"/>
      <c r="B46" s="109">
        <v>7</v>
      </c>
      <c r="C46" s="56" t="s">
        <v>226</v>
      </c>
      <c r="D46" s="56" t="s">
        <v>401</v>
      </c>
      <c r="E46" s="56" t="s">
        <v>335</v>
      </c>
      <c r="F46" s="56" t="s">
        <v>72</v>
      </c>
      <c r="G46" s="56" t="s">
        <v>92</v>
      </c>
      <c r="H46" s="57" t="s">
        <v>55</v>
      </c>
      <c r="I46" s="57" t="s">
        <v>344</v>
      </c>
      <c r="J46" s="126" t="s">
        <v>65</v>
      </c>
      <c r="K46" s="126" t="s">
        <v>122</v>
      </c>
      <c r="L46" s="112"/>
      <c r="M46" s="127"/>
      <c r="N46" s="116"/>
      <c r="O46" s="128"/>
      <c r="P46" s="128"/>
      <c r="Q46" s="129"/>
    </row>
    <row r="47" spans="1:17" ht="36">
      <c r="A47" s="42"/>
      <c r="B47" s="109">
        <v>8</v>
      </c>
      <c r="C47" s="56" t="s">
        <v>226</v>
      </c>
      <c r="D47" s="56" t="s">
        <v>402</v>
      </c>
      <c r="E47" s="56" t="s">
        <v>335</v>
      </c>
      <c r="F47" s="56" t="s">
        <v>72</v>
      </c>
      <c r="G47" s="56" t="s">
        <v>92</v>
      </c>
      <c r="H47" s="57" t="s">
        <v>338</v>
      </c>
      <c r="I47" s="57" t="s">
        <v>346</v>
      </c>
      <c r="J47" s="126" t="s">
        <v>218</v>
      </c>
      <c r="K47" s="126" t="s">
        <v>220</v>
      </c>
      <c r="L47" s="112"/>
      <c r="M47" s="127"/>
      <c r="N47" s="116"/>
      <c r="O47" s="128"/>
      <c r="P47" s="128"/>
      <c r="Q47" s="129"/>
    </row>
    <row r="48" spans="1:17" ht="36">
      <c r="A48" s="42"/>
      <c r="B48" s="109">
        <v>9</v>
      </c>
      <c r="C48" s="56" t="s">
        <v>226</v>
      </c>
      <c r="D48" s="56" t="s">
        <v>403</v>
      </c>
      <c r="E48" s="56" t="s">
        <v>335</v>
      </c>
      <c r="F48" s="56" t="s">
        <v>72</v>
      </c>
      <c r="G48" s="56" t="s">
        <v>92</v>
      </c>
      <c r="H48" s="57" t="s">
        <v>338</v>
      </c>
      <c r="I48" s="57" t="s">
        <v>347</v>
      </c>
      <c r="J48" s="126" t="s">
        <v>218</v>
      </c>
      <c r="K48" s="126" t="s">
        <v>349</v>
      </c>
      <c r="L48" s="112"/>
      <c r="M48" s="127"/>
      <c r="N48" s="116"/>
      <c r="O48" s="128"/>
      <c r="P48" s="128"/>
      <c r="Q48" s="129"/>
    </row>
    <row r="49" spans="1:17" ht="36">
      <c r="A49" s="42"/>
      <c r="B49" s="109">
        <v>10</v>
      </c>
      <c r="C49" s="56" t="s">
        <v>226</v>
      </c>
      <c r="D49" s="56" t="s">
        <v>404</v>
      </c>
      <c r="E49" s="56" t="s">
        <v>335</v>
      </c>
      <c r="F49" s="56" t="s">
        <v>72</v>
      </c>
      <c r="G49" s="56" t="s">
        <v>73</v>
      </c>
      <c r="H49" s="57" t="s">
        <v>56</v>
      </c>
      <c r="I49" s="57" t="s">
        <v>348</v>
      </c>
      <c r="J49" s="126" t="s">
        <v>129</v>
      </c>
      <c r="K49" s="126" t="s">
        <v>199</v>
      </c>
      <c r="L49" s="112"/>
      <c r="M49" s="127"/>
      <c r="N49" s="116"/>
      <c r="O49" s="128"/>
      <c r="P49" s="128"/>
      <c r="Q49" s="129"/>
    </row>
    <row r="50" spans="1:17" ht="24">
      <c r="A50" s="42"/>
      <c r="B50" s="109">
        <v>11</v>
      </c>
      <c r="C50" s="56" t="s">
        <v>226</v>
      </c>
      <c r="D50" s="56" t="s">
        <v>405</v>
      </c>
      <c r="E50" s="56" t="s">
        <v>335</v>
      </c>
      <c r="F50" s="56" t="s">
        <v>72</v>
      </c>
      <c r="G50" s="56" t="s">
        <v>92</v>
      </c>
      <c r="H50" s="57" t="s">
        <v>339</v>
      </c>
      <c r="I50" s="57" t="s">
        <v>345</v>
      </c>
      <c r="J50" s="126"/>
      <c r="K50" s="126" t="s">
        <v>127</v>
      </c>
      <c r="L50" s="112"/>
      <c r="M50" s="127"/>
      <c r="N50" s="116"/>
      <c r="O50" s="128"/>
      <c r="P50" s="128"/>
      <c r="Q50" s="129"/>
    </row>
    <row r="51" spans="1:17" ht="36">
      <c r="A51" s="42"/>
      <c r="B51" s="109">
        <v>12</v>
      </c>
      <c r="C51" s="56" t="s">
        <v>226</v>
      </c>
      <c r="D51" s="56" t="s">
        <v>406</v>
      </c>
      <c r="E51" s="56" t="s">
        <v>335</v>
      </c>
      <c r="F51" s="56" t="s">
        <v>72</v>
      </c>
      <c r="G51" s="56" t="s">
        <v>73</v>
      </c>
      <c r="H51" s="57" t="s">
        <v>57</v>
      </c>
      <c r="I51" s="57" t="s">
        <v>342</v>
      </c>
      <c r="J51" s="126" t="s">
        <v>68</v>
      </c>
      <c r="K51" s="126" t="s">
        <v>128</v>
      </c>
      <c r="L51" s="112"/>
      <c r="M51" s="127"/>
      <c r="N51" s="116"/>
      <c r="O51" s="128"/>
      <c r="P51" s="128"/>
      <c r="Q51" s="129"/>
    </row>
    <row r="52" spans="1:17" ht="24">
      <c r="A52" s="42"/>
      <c r="B52" s="109">
        <v>13</v>
      </c>
      <c r="C52" s="56" t="s">
        <v>226</v>
      </c>
      <c r="D52" s="56" t="s">
        <v>407</v>
      </c>
      <c r="E52" s="56" t="s">
        <v>335</v>
      </c>
      <c r="F52" s="116" t="s">
        <v>49</v>
      </c>
      <c r="G52" s="56" t="s">
        <v>54</v>
      </c>
      <c r="H52" s="58" t="s">
        <v>359</v>
      </c>
      <c r="I52" s="130" t="s">
        <v>358</v>
      </c>
      <c r="J52" s="58"/>
      <c r="K52" s="58" t="s">
        <v>360</v>
      </c>
      <c r="L52" s="112"/>
      <c r="M52" s="127"/>
      <c r="N52" s="116"/>
      <c r="O52" s="128"/>
      <c r="P52" s="128"/>
      <c r="Q52" s="129"/>
    </row>
    <row r="53" spans="1:17" ht="24">
      <c r="A53" s="42"/>
      <c r="B53" s="109">
        <v>14</v>
      </c>
      <c r="C53" s="56" t="s">
        <v>226</v>
      </c>
      <c r="D53" s="56" t="s">
        <v>408</v>
      </c>
      <c r="E53" s="56" t="s">
        <v>335</v>
      </c>
      <c r="F53" s="56" t="s">
        <v>72</v>
      </c>
      <c r="G53" s="56" t="s">
        <v>73</v>
      </c>
      <c r="H53" s="57" t="s">
        <v>340</v>
      </c>
      <c r="I53" s="57" t="s">
        <v>350</v>
      </c>
      <c r="J53" s="126"/>
      <c r="K53" s="126" t="s">
        <v>75</v>
      </c>
      <c r="L53" s="112"/>
      <c r="M53" s="127"/>
      <c r="N53" s="116"/>
      <c r="O53" s="128"/>
      <c r="P53" s="128"/>
      <c r="Q53" s="129"/>
    </row>
    <row r="54" spans="1:17" ht="36">
      <c r="A54" s="42"/>
      <c r="B54" s="109">
        <v>15</v>
      </c>
      <c r="C54" s="56" t="s">
        <v>226</v>
      </c>
      <c r="D54" s="56" t="s">
        <v>409</v>
      </c>
      <c r="E54" s="56" t="s">
        <v>335</v>
      </c>
      <c r="F54" s="56" t="s">
        <v>72</v>
      </c>
      <c r="G54" s="56" t="s">
        <v>92</v>
      </c>
      <c r="H54" s="57" t="s">
        <v>55</v>
      </c>
      <c r="I54" s="57" t="s">
        <v>344</v>
      </c>
      <c r="J54" s="126" t="s">
        <v>65</v>
      </c>
      <c r="K54" s="126" t="s">
        <v>122</v>
      </c>
      <c r="L54" s="112"/>
      <c r="M54" s="127"/>
      <c r="N54" s="116"/>
      <c r="O54" s="128"/>
      <c r="P54" s="128"/>
      <c r="Q54" s="129"/>
    </row>
    <row r="55" spans="1:17" ht="48">
      <c r="A55" s="42"/>
      <c r="B55" s="109">
        <v>16</v>
      </c>
      <c r="C55" s="56" t="s">
        <v>226</v>
      </c>
      <c r="D55" s="56" t="s">
        <v>410</v>
      </c>
      <c r="E55" s="56" t="s">
        <v>335</v>
      </c>
      <c r="F55" s="56" t="s">
        <v>72</v>
      </c>
      <c r="G55" s="56" t="s">
        <v>73</v>
      </c>
      <c r="H55" s="57" t="s">
        <v>56</v>
      </c>
      <c r="I55" s="57" t="s">
        <v>348</v>
      </c>
      <c r="J55" s="126" t="s">
        <v>130</v>
      </c>
      <c r="K55" s="126" t="s">
        <v>198</v>
      </c>
      <c r="L55" s="112"/>
      <c r="M55" s="127"/>
      <c r="N55" s="116"/>
      <c r="O55" s="128"/>
      <c r="P55" s="128"/>
      <c r="Q55" s="129"/>
    </row>
    <row r="56" spans="1:17" ht="24">
      <c r="A56" s="42"/>
      <c r="B56" s="109">
        <v>17</v>
      </c>
      <c r="C56" s="56" t="s">
        <v>226</v>
      </c>
      <c r="D56" s="56" t="s">
        <v>411</v>
      </c>
      <c r="E56" s="56" t="s">
        <v>335</v>
      </c>
      <c r="F56" s="56" t="s">
        <v>72</v>
      </c>
      <c r="G56" s="56" t="s">
        <v>73</v>
      </c>
      <c r="H56" s="57" t="s">
        <v>58</v>
      </c>
      <c r="I56" s="57" t="s">
        <v>346</v>
      </c>
      <c r="J56" s="126" t="s">
        <v>218</v>
      </c>
      <c r="K56" s="126" t="s">
        <v>221</v>
      </c>
      <c r="L56" s="112"/>
      <c r="M56" s="127"/>
      <c r="N56" s="116"/>
      <c r="O56" s="128"/>
      <c r="P56" s="128"/>
      <c r="Q56" s="129"/>
    </row>
    <row r="57" spans="1:17" ht="24">
      <c r="A57" s="42"/>
      <c r="B57" s="109">
        <v>18</v>
      </c>
      <c r="C57" s="56" t="s">
        <v>226</v>
      </c>
      <c r="D57" s="56" t="s">
        <v>412</v>
      </c>
      <c r="E57" s="56" t="s">
        <v>335</v>
      </c>
      <c r="F57" s="56" t="s">
        <v>72</v>
      </c>
      <c r="G57" s="56" t="s">
        <v>92</v>
      </c>
      <c r="H57" s="57" t="s">
        <v>74</v>
      </c>
      <c r="I57" s="57" t="s">
        <v>345</v>
      </c>
      <c r="J57" s="126"/>
      <c r="K57" s="126" t="s">
        <v>127</v>
      </c>
      <c r="L57" s="112"/>
      <c r="M57" s="127"/>
      <c r="N57" s="116"/>
      <c r="O57" s="128"/>
      <c r="P57" s="128"/>
      <c r="Q57" s="129"/>
    </row>
    <row r="58" spans="1:17" ht="36">
      <c r="A58" s="42"/>
      <c r="B58" s="109">
        <v>19</v>
      </c>
      <c r="C58" s="56" t="s">
        <v>226</v>
      </c>
      <c r="D58" s="56" t="s">
        <v>413</v>
      </c>
      <c r="E58" s="56" t="s">
        <v>335</v>
      </c>
      <c r="F58" s="56" t="s">
        <v>72</v>
      </c>
      <c r="G58" s="56" t="s">
        <v>73</v>
      </c>
      <c r="H58" s="57" t="s">
        <v>57</v>
      </c>
      <c r="I58" s="57" t="s">
        <v>351</v>
      </c>
      <c r="J58" s="126" t="s">
        <v>68</v>
      </c>
      <c r="K58" s="126" t="s">
        <v>131</v>
      </c>
      <c r="L58" s="112"/>
      <c r="M58" s="127"/>
      <c r="N58" s="116"/>
      <c r="O58" s="128"/>
      <c r="P58" s="128"/>
      <c r="Q58" s="129"/>
    </row>
    <row r="59" spans="1:17" ht="24">
      <c r="A59" s="42"/>
      <c r="B59" s="109">
        <v>20</v>
      </c>
      <c r="C59" s="56" t="s">
        <v>226</v>
      </c>
      <c r="D59" s="56" t="s">
        <v>414</v>
      </c>
      <c r="E59" s="56" t="s">
        <v>335</v>
      </c>
      <c r="F59" s="116" t="s">
        <v>49</v>
      </c>
      <c r="G59" s="56" t="s">
        <v>54</v>
      </c>
      <c r="H59" s="58" t="s">
        <v>359</v>
      </c>
      <c r="I59" s="130" t="s">
        <v>361</v>
      </c>
      <c r="J59" s="58"/>
      <c r="K59" s="58" t="s">
        <v>362</v>
      </c>
      <c r="L59" s="112"/>
      <c r="M59" s="127"/>
      <c r="N59" s="116"/>
      <c r="O59" s="128"/>
      <c r="P59" s="128"/>
      <c r="Q59" s="129"/>
    </row>
    <row r="60" spans="1:17" ht="36">
      <c r="A60" s="42"/>
      <c r="B60" s="109">
        <v>21</v>
      </c>
      <c r="C60" s="56" t="s">
        <v>226</v>
      </c>
      <c r="D60" s="56" t="s">
        <v>415</v>
      </c>
      <c r="E60" s="56" t="s">
        <v>335</v>
      </c>
      <c r="F60" s="56" t="s">
        <v>48</v>
      </c>
      <c r="G60" s="56" t="s">
        <v>54</v>
      </c>
      <c r="H60" s="57" t="s">
        <v>336</v>
      </c>
      <c r="I60" s="57" t="s">
        <v>341</v>
      </c>
      <c r="J60" s="126"/>
      <c r="K60" s="126" t="s">
        <v>64</v>
      </c>
      <c r="L60" s="112"/>
      <c r="M60" s="127"/>
      <c r="N60" s="116"/>
      <c r="O60" s="128"/>
      <c r="P60" s="128"/>
      <c r="Q60" s="129"/>
    </row>
    <row r="61" spans="1:17" ht="36">
      <c r="A61" s="42"/>
      <c r="B61" s="109">
        <v>22</v>
      </c>
      <c r="C61" s="56" t="s">
        <v>226</v>
      </c>
      <c r="D61" s="56" t="s">
        <v>416</v>
      </c>
      <c r="E61" s="56" t="s">
        <v>335</v>
      </c>
      <c r="F61" s="56" t="s">
        <v>48</v>
      </c>
      <c r="G61" s="56" t="s">
        <v>90</v>
      </c>
      <c r="H61" s="57" t="s">
        <v>55</v>
      </c>
      <c r="I61" s="57" t="s">
        <v>344</v>
      </c>
      <c r="J61" s="126" t="s">
        <v>65</v>
      </c>
      <c r="K61" s="126" t="s">
        <v>122</v>
      </c>
      <c r="L61" s="98"/>
      <c r="M61" s="128"/>
      <c r="N61" s="116"/>
      <c r="O61" s="128"/>
      <c r="P61" s="128"/>
      <c r="Q61" s="129"/>
    </row>
    <row r="62" spans="1:17" ht="24">
      <c r="A62" s="42"/>
      <c r="B62" s="109">
        <v>23</v>
      </c>
      <c r="C62" s="56" t="s">
        <v>226</v>
      </c>
      <c r="D62" s="56" t="s">
        <v>417</v>
      </c>
      <c r="E62" s="56" t="s">
        <v>335</v>
      </c>
      <c r="F62" s="56" t="s">
        <v>48</v>
      </c>
      <c r="G62" s="56" t="s">
        <v>90</v>
      </c>
      <c r="H62" s="57" t="s">
        <v>74</v>
      </c>
      <c r="I62" s="57" t="s">
        <v>345</v>
      </c>
      <c r="J62" s="126"/>
      <c r="K62" s="126" t="s">
        <v>127</v>
      </c>
      <c r="L62" s="114"/>
      <c r="M62" s="131"/>
      <c r="N62" s="116"/>
      <c r="O62" s="128"/>
      <c r="P62" s="128"/>
      <c r="Q62" s="129"/>
    </row>
    <row r="63" spans="1:17" ht="36">
      <c r="A63" s="42"/>
      <c r="B63" s="109">
        <v>24</v>
      </c>
      <c r="C63" s="56" t="s">
        <v>226</v>
      </c>
      <c r="D63" s="56" t="s">
        <v>418</v>
      </c>
      <c r="E63" s="56" t="s">
        <v>335</v>
      </c>
      <c r="F63" s="56" t="s">
        <v>48</v>
      </c>
      <c r="G63" s="56" t="s">
        <v>54</v>
      </c>
      <c r="H63" s="57" t="s">
        <v>57</v>
      </c>
      <c r="I63" s="57" t="s">
        <v>342</v>
      </c>
      <c r="J63" s="126" t="s">
        <v>68</v>
      </c>
      <c r="K63" s="126" t="s">
        <v>128</v>
      </c>
      <c r="L63" s="114"/>
      <c r="M63" s="131"/>
      <c r="N63" s="116"/>
      <c r="O63" s="128"/>
      <c r="P63" s="128"/>
      <c r="Q63" s="129"/>
    </row>
    <row r="64" spans="1:17" ht="24">
      <c r="A64" s="42"/>
      <c r="B64" s="109">
        <v>25</v>
      </c>
      <c r="C64" s="56" t="s">
        <v>226</v>
      </c>
      <c r="D64" s="56" t="s">
        <v>419</v>
      </c>
      <c r="E64" s="56" t="s">
        <v>335</v>
      </c>
      <c r="F64" s="116" t="s">
        <v>49</v>
      </c>
      <c r="G64" s="56" t="s">
        <v>54</v>
      </c>
      <c r="H64" s="58" t="s">
        <v>359</v>
      </c>
      <c r="I64" s="130" t="s">
        <v>358</v>
      </c>
      <c r="J64" s="58"/>
      <c r="K64" s="58" t="s">
        <v>360</v>
      </c>
      <c r="L64" s="114"/>
      <c r="M64" s="131"/>
      <c r="N64" s="116"/>
      <c r="O64" s="128"/>
      <c r="P64" s="128"/>
      <c r="Q64" s="129"/>
    </row>
    <row r="65" spans="1:17" ht="36">
      <c r="A65" s="42"/>
      <c r="B65" s="109">
        <v>26</v>
      </c>
      <c r="C65" s="56" t="s">
        <v>226</v>
      </c>
      <c r="D65" s="56" t="s">
        <v>420</v>
      </c>
      <c r="E65" s="56" t="s">
        <v>335</v>
      </c>
      <c r="F65" s="56" t="s">
        <v>48</v>
      </c>
      <c r="G65" s="56" t="s">
        <v>54</v>
      </c>
      <c r="H65" s="57" t="s">
        <v>337</v>
      </c>
      <c r="I65" s="57" t="s">
        <v>343</v>
      </c>
      <c r="J65" s="126"/>
      <c r="K65" s="126" t="s">
        <v>64</v>
      </c>
      <c r="L65" s="114"/>
      <c r="M65" s="131"/>
      <c r="N65" s="116"/>
      <c r="O65" s="128"/>
      <c r="P65" s="128"/>
      <c r="Q65" s="129"/>
    </row>
    <row r="66" spans="1:17" ht="36">
      <c r="A66" s="42"/>
      <c r="B66" s="109">
        <v>27</v>
      </c>
      <c r="C66" s="56" t="s">
        <v>226</v>
      </c>
      <c r="D66" s="56" t="s">
        <v>421</v>
      </c>
      <c r="E66" s="56" t="s">
        <v>335</v>
      </c>
      <c r="F66" s="56" t="s">
        <v>48</v>
      </c>
      <c r="G66" s="56" t="s">
        <v>90</v>
      </c>
      <c r="H66" s="57" t="s">
        <v>55</v>
      </c>
      <c r="I66" s="57" t="s">
        <v>344</v>
      </c>
      <c r="J66" s="126" t="s">
        <v>65</v>
      </c>
      <c r="K66" s="126" t="s">
        <v>122</v>
      </c>
      <c r="L66" s="114"/>
      <c r="M66" s="131"/>
      <c r="N66" s="116"/>
      <c r="O66" s="128"/>
      <c r="P66" s="128"/>
      <c r="Q66" s="129"/>
    </row>
    <row r="67" spans="1:17" ht="36">
      <c r="A67" s="42"/>
      <c r="B67" s="109">
        <v>28</v>
      </c>
      <c r="C67" s="56" t="s">
        <v>226</v>
      </c>
      <c r="D67" s="56" t="s">
        <v>422</v>
      </c>
      <c r="E67" s="56" t="s">
        <v>335</v>
      </c>
      <c r="F67" s="56" t="s">
        <v>48</v>
      </c>
      <c r="G67" s="56" t="s">
        <v>90</v>
      </c>
      <c r="H67" s="57" t="s">
        <v>338</v>
      </c>
      <c r="I67" s="57" t="s">
        <v>346</v>
      </c>
      <c r="J67" s="126" t="s">
        <v>218</v>
      </c>
      <c r="K67" s="126" t="s">
        <v>220</v>
      </c>
      <c r="L67" s="114"/>
      <c r="M67" s="131"/>
      <c r="N67" s="116"/>
      <c r="O67" s="128"/>
      <c r="P67" s="128"/>
      <c r="Q67" s="129"/>
    </row>
    <row r="68" spans="1:17" ht="36">
      <c r="A68" s="42"/>
      <c r="B68" s="109">
        <v>29</v>
      </c>
      <c r="C68" s="56" t="s">
        <v>226</v>
      </c>
      <c r="D68" s="56" t="s">
        <v>423</v>
      </c>
      <c r="E68" s="56" t="s">
        <v>335</v>
      </c>
      <c r="F68" s="56" t="s">
        <v>48</v>
      </c>
      <c r="G68" s="56" t="s">
        <v>90</v>
      </c>
      <c r="H68" s="57" t="s">
        <v>338</v>
      </c>
      <c r="I68" s="57" t="s">
        <v>347</v>
      </c>
      <c r="J68" s="126" t="s">
        <v>218</v>
      </c>
      <c r="K68" s="126" t="s">
        <v>349</v>
      </c>
      <c r="L68" s="114"/>
      <c r="M68" s="131"/>
      <c r="N68" s="116"/>
      <c r="O68" s="128"/>
      <c r="P68" s="128"/>
      <c r="Q68" s="129"/>
    </row>
    <row r="69" spans="1:17" ht="36">
      <c r="A69" s="42"/>
      <c r="B69" s="109">
        <v>30</v>
      </c>
      <c r="C69" s="56" t="s">
        <v>226</v>
      </c>
      <c r="D69" s="56" t="s">
        <v>424</v>
      </c>
      <c r="E69" s="56" t="s">
        <v>335</v>
      </c>
      <c r="F69" s="56" t="s">
        <v>48</v>
      </c>
      <c r="G69" s="56" t="s">
        <v>54</v>
      </c>
      <c r="H69" s="57" t="s">
        <v>56</v>
      </c>
      <c r="I69" s="57" t="s">
        <v>348</v>
      </c>
      <c r="J69" s="126" t="s">
        <v>129</v>
      </c>
      <c r="K69" s="126" t="s">
        <v>199</v>
      </c>
      <c r="L69" s="114"/>
      <c r="M69" s="131"/>
      <c r="N69" s="116"/>
      <c r="O69" s="128"/>
      <c r="P69" s="128"/>
      <c r="Q69" s="129"/>
    </row>
    <row r="70" spans="1:17" ht="24">
      <c r="A70" s="42"/>
      <c r="B70" s="109">
        <v>31</v>
      </c>
      <c r="C70" s="56" t="s">
        <v>226</v>
      </c>
      <c r="D70" s="56" t="s">
        <v>291</v>
      </c>
      <c r="E70" s="56" t="s">
        <v>335</v>
      </c>
      <c r="F70" s="56" t="s">
        <v>48</v>
      </c>
      <c r="G70" s="56" t="s">
        <v>90</v>
      </c>
      <c r="H70" s="57" t="s">
        <v>339</v>
      </c>
      <c r="I70" s="57" t="s">
        <v>345</v>
      </c>
      <c r="J70" s="126"/>
      <c r="K70" s="126" t="s">
        <v>127</v>
      </c>
      <c r="L70" s="114"/>
      <c r="M70" s="131"/>
      <c r="N70" s="116"/>
      <c r="O70" s="128"/>
      <c r="P70" s="128"/>
      <c r="Q70" s="129"/>
    </row>
    <row r="71" spans="1:17" ht="36">
      <c r="A71" s="42"/>
      <c r="B71" s="109">
        <v>32</v>
      </c>
      <c r="C71" s="56" t="s">
        <v>226</v>
      </c>
      <c r="D71" s="56" t="s">
        <v>425</v>
      </c>
      <c r="E71" s="56" t="s">
        <v>335</v>
      </c>
      <c r="F71" s="56" t="s">
        <v>48</v>
      </c>
      <c r="G71" s="56" t="s">
        <v>54</v>
      </c>
      <c r="H71" s="57" t="s">
        <v>57</v>
      </c>
      <c r="I71" s="57" t="s">
        <v>342</v>
      </c>
      <c r="J71" s="126" t="s">
        <v>68</v>
      </c>
      <c r="K71" s="126" t="s">
        <v>128</v>
      </c>
      <c r="L71" s="114"/>
      <c r="M71" s="131"/>
      <c r="N71" s="116"/>
      <c r="O71" s="128"/>
      <c r="P71" s="128"/>
      <c r="Q71" s="129"/>
    </row>
    <row r="72" spans="1:17" ht="24">
      <c r="A72" s="42"/>
      <c r="B72" s="109">
        <v>33</v>
      </c>
      <c r="C72" s="56" t="s">
        <v>226</v>
      </c>
      <c r="D72" s="56" t="s">
        <v>426</v>
      </c>
      <c r="E72" s="56" t="s">
        <v>335</v>
      </c>
      <c r="F72" s="116" t="s">
        <v>49</v>
      </c>
      <c r="G72" s="56" t="s">
        <v>54</v>
      </c>
      <c r="H72" s="58" t="s">
        <v>359</v>
      </c>
      <c r="I72" s="130" t="s">
        <v>358</v>
      </c>
      <c r="J72" s="58"/>
      <c r="K72" s="58" t="s">
        <v>360</v>
      </c>
      <c r="L72" s="114"/>
      <c r="M72" s="131"/>
      <c r="N72" s="116"/>
      <c r="O72" s="128"/>
      <c r="P72" s="128"/>
      <c r="Q72" s="129"/>
    </row>
    <row r="73" spans="1:17" ht="24">
      <c r="A73" s="42"/>
      <c r="B73" s="109">
        <v>34</v>
      </c>
      <c r="C73" s="56" t="s">
        <v>226</v>
      </c>
      <c r="D73" s="56" t="s">
        <v>427</v>
      </c>
      <c r="E73" s="56" t="s">
        <v>335</v>
      </c>
      <c r="F73" s="56" t="s">
        <v>48</v>
      </c>
      <c r="G73" s="56" t="s">
        <v>54</v>
      </c>
      <c r="H73" s="57" t="s">
        <v>340</v>
      </c>
      <c r="I73" s="57" t="s">
        <v>350</v>
      </c>
      <c r="J73" s="126"/>
      <c r="K73" s="126" t="s">
        <v>75</v>
      </c>
      <c r="L73" s="114"/>
      <c r="M73" s="131"/>
      <c r="N73" s="116"/>
      <c r="O73" s="128"/>
      <c r="P73" s="128"/>
      <c r="Q73" s="129"/>
    </row>
    <row r="74" spans="1:17" ht="36">
      <c r="A74" s="42"/>
      <c r="B74" s="109">
        <v>35</v>
      </c>
      <c r="C74" s="56" t="s">
        <v>226</v>
      </c>
      <c r="D74" s="56" t="s">
        <v>428</v>
      </c>
      <c r="E74" s="56" t="s">
        <v>335</v>
      </c>
      <c r="F74" s="56" t="s">
        <v>48</v>
      </c>
      <c r="G74" s="56" t="s">
        <v>90</v>
      </c>
      <c r="H74" s="57" t="s">
        <v>55</v>
      </c>
      <c r="I74" s="57" t="s">
        <v>344</v>
      </c>
      <c r="J74" s="126" t="s">
        <v>65</v>
      </c>
      <c r="K74" s="126" t="s">
        <v>122</v>
      </c>
      <c r="L74" s="114"/>
      <c r="M74" s="131"/>
      <c r="N74" s="116"/>
      <c r="O74" s="128"/>
      <c r="P74" s="128"/>
      <c r="Q74" s="129"/>
    </row>
    <row r="75" spans="1:17" ht="48">
      <c r="A75" s="42"/>
      <c r="B75" s="109">
        <v>36</v>
      </c>
      <c r="C75" s="56" t="s">
        <v>226</v>
      </c>
      <c r="D75" s="56" t="s">
        <v>429</v>
      </c>
      <c r="E75" s="56" t="s">
        <v>335</v>
      </c>
      <c r="F75" s="56" t="s">
        <v>48</v>
      </c>
      <c r="G75" s="56" t="s">
        <v>54</v>
      </c>
      <c r="H75" s="57" t="s">
        <v>56</v>
      </c>
      <c r="I75" s="57" t="s">
        <v>348</v>
      </c>
      <c r="J75" s="126" t="s">
        <v>130</v>
      </c>
      <c r="K75" s="126" t="s">
        <v>198</v>
      </c>
      <c r="L75" s="114"/>
      <c r="M75" s="131"/>
      <c r="N75" s="116"/>
      <c r="O75" s="128"/>
      <c r="P75" s="128"/>
      <c r="Q75" s="129"/>
    </row>
    <row r="76" spans="1:17" ht="24">
      <c r="A76" s="42"/>
      <c r="B76" s="109">
        <v>37</v>
      </c>
      <c r="C76" s="56" t="s">
        <v>226</v>
      </c>
      <c r="D76" s="56" t="s">
        <v>430</v>
      </c>
      <c r="E76" s="56" t="s">
        <v>335</v>
      </c>
      <c r="F76" s="56" t="s">
        <v>48</v>
      </c>
      <c r="G76" s="56" t="s">
        <v>54</v>
      </c>
      <c r="H76" s="57" t="s">
        <v>58</v>
      </c>
      <c r="I76" s="57" t="s">
        <v>346</v>
      </c>
      <c r="J76" s="126" t="s">
        <v>218</v>
      </c>
      <c r="K76" s="126" t="s">
        <v>221</v>
      </c>
      <c r="L76" s="114"/>
      <c r="M76" s="131"/>
      <c r="N76" s="116"/>
      <c r="O76" s="128"/>
      <c r="P76" s="128"/>
      <c r="Q76" s="129"/>
    </row>
    <row r="77" spans="1:17" ht="24">
      <c r="A77" s="42"/>
      <c r="B77" s="109">
        <v>38</v>
      </c>
      <c r="C77" s="56" t="s">
        <v>226</v>
      </c>
      <c r="D77" s="56" t="s">
        <v>431</v>
      </c>
      <c r="E77" s="56" t="s">
        <v>335</v>
      </c>
      <c r="F77" s="56" t="s">
        <v>48</v>
      </c>
      <c r="G77" s="56" t="s">
        <v>90</v>
      </c>
      <c r="H77" s="57" t="s">
        <v>74</v>
      </c>
      <c r="I77" s="57" t="s">
        <v>345</v>
      </c>
      <c r="J77" s="126"/>
      <c r="K77" s="126" t="s">
        <v>127</v>
      </c>
      <c r="L77" s="114"/>
      <c r="M77" s="131"/>
      <c r="N77" s="116"/>
      <c r="O77" s="128"/>
      <c r="P77" s="128"/>
      <c r="Q77" s="129"/>
    </row>
    <row r="78" spans="1:17" ht="36">
      <c r="A78" s="42"/>
      <c r="B78" s="109">
        <v>39</v>
      </c>
      <c r="C78" s="56" t="s">
        <v>226</v>
      </c>
      <c r="D78" s="56" t="s">
        <v>432</v>
      </c>
      <c r="E78" s="56" t="s">
        <v>335</v>
      </c>
      <c r="F78" s="56" t="s">
        <v>48</v>
      </c>
      <c r="G78" s="56" t="s">
        <v>54</v>
      </c>
      <c r="H78" s="57" t="s">
        <v>57</v>
      </c>
      <c r="I78" s="57" t="s">
        <v>351</v>
      </c>
      <c r="J78" s="126" t="s">
        <v>68</v>
      </c>
      <c r="K78" s="126" t="s">
        <v>131</v>
      </c>
      <c r="L78" s="114"/>
      <c r="M78" s="131"/>
      <c r="N78" s="116"/>
      <c r="O78" s="128"/>
      <c r="P78" s="128"/>
      <c r="Q78" s="129"/>
    </row>
    <row r="79" spans="1:17" ht="24">
      <c r="A79" s="42"/>
      <c r="B79" s="109">
        <v>40</v>
      </c>
      <c r="C79" s="56" t="s">
        <v>226</v>
      </c>
      <c r="D79" s="56" t="s">
        <v>433</v>
      </c>
      <c r="E79" s="56" t="s">
        <v>335</v>
      </c>
      <c r="F79" s="116" t="s">
        <v>49</v>
      </c>
      <c r="G79" s="56" t="s">
        <v>54</v>
      </c>
      <c r="H79" s="58" t="s">
        <v>359</v>
      </c>
      <c r="I79" s="130" t="s">
        <v>361</v>
      </c>
      <c r="J79" s="58"/>
      <c r="K79" s="58" t="s">
        <v>362</v>
      </c>
      <c r="L79" s="114"/>
      <c r="M79" s="131"/>
      <c r="N79" s="116"/>
      <c r="O79" s="128"/>
      <c r="P79" s="128"/>
      <c r="Q79" s="129"/>
    </row>
    <row r="80" spans="1:17" ht="36">
      <c r="A80" s="42"/>
      <c r="B80" s="109">
        <v>41</v>
      </c>
      <c r="C80" s="56" t="s">
        <v>244</v>
      </c>
      <c r="D80" s="56" t="s">
        <v>434</v>
      </c>
      <c r="E80" s="56" t="s">
        <v>335</v>
      </c>
      <c r="F80" s="56" t="s">
        <v>59</v>
      </c>
      <c r="G80" s="56" t="s">
        <v>54</v>
      </c>
      <c r="H80" s="57" t="s">
        <v>336</v>
      </c>
      <c r="I80" s="57" t="s">
        <v>341</v>
      </c>
      <c r="J80" s="126"/>
      <c r="K80" s="126" t="s">
        <v>64</v>
      </c>
      <c r="L80" s="114"/>
      <c r="M80" s="131"/>
      <c r="N80" s="116"/>
      <c r="O80" s="128"/>
      <c r="P80" s="128"/>
      <c r="Q80" s="129"/>
    </row>
    <row r="81" spans="1:17" ht="36">
      <c r="A81" s="42"/>
      <c r="B81" s="109">
        <v>42</v>
      </c>
      <c r="C81" s="56" t="s">
        <v>244</v>
      </c>
      <c r="D81" s="56" t="s">
        <v>435</v>
      </c>
      <c r="E81" s="56" t="s">
        <v>335</v>
      </c>
      <c r="F81" s="56" t="s">
        <v>59</v>
      </c>
      <c r="G81" s="56" t="s">
        <v>90</v>
      </c>
      <c r="H81" s="57" t="s">
        <v>55</v>
      </c>
      <c r="I81" s="57" t="s">
        <v>344</v>
      </c>
      <c r="J81" s="126" t="s">
        <v>65</v>
      </c>
      <c r="K81" s="126" t="s">
        <v>122</v>
      </c>
      <c r="L81" s="114"/>
      <c r="M81" s="131"/>
      <c r="N81" s="116"/>
      <c r="O81" s="128"/>
      <c r="P81" s="128"/>
      <c r="Q81" s="129"/>
    </row>
    <row r="82" spans="1:17" ht="24">
      <c r="A82" s="42"/>
      <c r="B82" s="109">
        <v>43</v>
      </c>
      <c r="C82" s="56" t="s">
        <v>244</v>
      </c>
      <c r="D82" s="56" t="s">
        <v>436</v>
      </c>
      <c r="E82" s="56" t="s">
        <v>335</v>
      </c>
      <c r="F82" s="56" t="s">
        <v>59</v>
      </c>
      <c r="G82" s="56" t="s">
        <v>90</v>
      </c>
      <c r="H82" s="57" t="s">
        <v>74</v>
      </c>
      <c r="I82" s="57" t="s">
        <v>345</v>
      </c>
      <c r="J82" s="126"/>
      <c r="K82" s="126" t="s">
        <v>127</v>
      </c>
      <c r="L82" s="114"/>
      <c r="M82" s="131"/>
      <c r="N82" s="116"/>
      <c r="O82" s="128"/>
      <c r="P82" s="128"/>
      <c r="Q82" s="129"/>
    </row>
    <row r="83" spans="1:17" ht="36">
      <c r="A83" s="42"/>
      <c r="B83" s="109">
        <v>44</v>
      </c>
      <c r="C83" s="56" t="s">
        <v>244</v>
      </c>
      <c r="D83" s="56" t="s">
        <v>437</v>
      </c>
      <c r="E83" s="56" t="s">
        <v>335</v>
      </c>
      <c r="F83" s="56" t="s">
        <v>59</v>
      </c>
      <c r="G83" s="56" t="s">
        <v>54</v>
      </c>
      <c r="H83" s="57" t="s">
        <v>57</v>
      </c>
      <c r="I83" s="57" t="s">
        <v>342</v>
      </c>
      <c r="J83" s="126" t="s">
        <v>68</v>
      </c>
      <c r="K83" s="126" t="s">
        <v>128</v>
      </c>
      <c r="L83" s="114"/>
      <c r="M83" s="131"/>
      <c r="N83" s="116"/>
      <c r="O83" s="128"/>
      <c r="P83" s="128"/>
      <c r="Q83" s="129"/>
    </row>
    <row r="84" spans="1:17" ht="24">
      <c r="A84" s="42"/>
      <c r="B84" s="109">
        <v>45</v>
      </c>
      <c r="C84" s="56" t="s">
        <v>244</v>
      </c>
      <c r="D84" s="56" t="s">
        <v>438</v>
      </c>
      <c r="E84" s="56" t="s">
        <v>335</v>
      </c>
      <c r="F84" s="116" t="s">
        <v>49</v>
      </c>
      <c r="G84" s="56" t="s">
        <v>54</v>
      </c>
      <c r="H84" s="58" t="s">
        <v>359</v>
      </c>
      <c r="I84" s="130" t="s">
        <v>358</v>
      </c>
      <c r="J84" s="58"/>
      <c r="K84" s="58" t="s">
        <v>360</v>
      </c>
      <c r="L84" s="114"/>
      <c r="M84" s="131"/>
      <c r="N84" s="116"/>
      <c r="O84" s="128"/>
      <c r="P84" s="128"/>
      <c r="Q84" s="129"/>
    </row>
    <row r="85" spans="1:17" ht="36">
      <c r="A85" s="42"/>
      <c r="B85" s="109">
        <v>46</v>
      </c>
      <c r="C85" s="56" t="s">
        <v>244</v>
      </c>
      <c r="D85" s="56" t="s">
        <v>439</v>
      </c>
      <c r="E85" s="56" t="s">
        <v>335</v>
      </c>
      <c r="F85" s="56" t="s">
        <v>59</v>
      </c>
      <c r="G85" s="56" t="s">
        <v>54</v>
      </c>
      <c r="H85" s="57" t="s">
        <v>337</v>
      </c>
      <c r="I85" s="57" t="s">
        <v>343</v>
      </c>
      <c r="J85" s="126"/>
      <c r="K85" s="126" t="s">
        <v>64</v>
      </c>
      <c r="L85" s="114"/>
      <c r="M85" s="131"/>
      <c r="N85" s="116"/>
      <c r="O85" s="128"/>
      <c r="P85" s="128"/>
      <c r="Q85" s="129"/>
    </row>
    <row r="86" spans="1:17" ht="36">
      <c r="A86" s="42"/>
      <c r="B86" s="109">
        <v>47</v>
      </c>
      <c r="C86" s="56" t="s">
        <v>244</v>
      </c>
      <c r="D86" s="56" t="s">
        <v>440</v>
      </c>
      <c r="E86" s="56" t="s">
        <v>335</v>
      </c>
      <c r="F86" s="56" t="s">
        <v>59</v>
      </c>
      <c r="G86" s="56" t="s">
        <v>90</v>
      </c>
      <c r="H86" s="57" t="s">
        <v>55</v>
      </c>
      <c r="I86" s="57" t="s">
        <v>344</v>
      </c>
      <c r="J86" s="126" t="s">
        <v>65</v>
      </c>
      <c r="K86" s="126" t="s">
        <v>122</v>
      </c>
      <c r="L86" s="114"/>
      <c r="M86" s="131"/>
      <c r="N86" s="116"/>
      <c r="O86" s="128"/>
      <c r="P86" s="128"/>
      <c r="Q86" s="129"/>
    </row>
    <row r="87" spans="1:17" ht="36">
      <c r="A87" s="42"/>
      <c r="B87" s="109">
        <v>48</v>
      </c>
      <c r="C87" s="56" t="s">
        <v>244</v>
      </c>
      <c r="D87" s="56" t="s">
        <v>441</v>
      </c>
      <c r="E87" s="56" t="s">
        <v>335</v>
      </c>
      <c r="F87" s="56" t="s">
        <v>59</v>
      </c>
      <c r="G87" s="56" t="s">
        <v>90</v>
      </c>
      <c r="H87" s="57" t="s">
        <v>338</v>
      </c>
      <c r="I87" s="57" t="s">
        <v>346</v>
      </c>
      <c r="J87" s="126" t="s">
        <v>218</v>
      </c>
      <c r="K87" s="126" t="s">
        <v>220</v>
      </c>
      <c r="L87" s="114"/>
      <c r="M87" s="131"/>
      <c r="N87" s="116"/>
      <c r="O87" s="128"/>
      <c r="P87" s="128"/>
      <c r="Q87" s="129"/>
    </row>
    <row r="88" spans="1:17" ht="36">
      <c r="A88" s="42"/>
      <c r="B88" s="109">
        <v>49</v>
      </c>
      <c r="C88" s="56" t="s">
        <v>244</v>
      </c>
      <c r="D88" s="56" t="s">
        <v>442</v>
      </c>
      <c r="E88" s="56" t="s">
        <v>335</v>
      </c>
      <c r="F88" s="56" t="s">
        <v>59</v>
      </c>
      <c r="G88" s="56" t="s">
        <v>90</v>
      </c>
      <c r="H88" s="57" t="s">
        <v>338</v>
      </c>
      <c r="I88" s="57" t="s">
        <v>347</v>
      </c>
      <c r="J88" s="126" t="s">
        <v>218</v>
      </c>
      <c r="K88" s="126" t="s">
        <v>349</v>
      </c>
      <c r="L88" s="114"/>
      <c r="M88" s="131"/>
      <c r="N88" s="116"/>
      <c r="O88" s="128"/>
      <c r="P88" s="128"/>
      <c r="Q88" s="129"/>
    </row>
    <row r="89" spans="1:17" ht="36">
      <c r="A89" s="42"/>
      <c r="B89" s="109">
        <v>50</v>
      </c>
      <c r="C89" s="56" t="s">
        <v>244</v>
      </c>
      <c r="D89" s="56" t="s">
        <v>443</v>
      </c>
      <c r="E89" s="56" t="s">
        <v>335</v>
      </c>
      <c r="F89" s="56" t="s">
        <v>59</v>
      </c>
      <c r="G89" s="56" t="s">
        <v>54</v>
      </c>
      <c r="H89" s="57" t="s">
        <v>56</v>
      </c>
      <c r="I89" s="57" t="s">
        <v>348</v>
      </c>
      <c r="J89" s="126" t="s">
        <v>129</v>
      </c>
      <c r="K89" s="126" t="s">
        <v>199</v>
      </c>
      <c r="L89" s="114"/>
      <c r="M89" s="131"/>
      <c r="N89" s="116"/>
      <c r="O89" s="128"/>
      <c r="P89" s="128"/>
      <c r="Q89" s="129"/>
    </row>
    <row r="90" spans="1:17" ht="24">
      <c r="A90" s="42"/>
      <c r="B90" s="109">
        <v>51</v>
      </c>
      <c r="C90" s="56" t="s">
        <v>244</v>
      </c>
      <c r="D90" s="56" t="s">
        <v>444</v>
      </c>
      <c r="E90" s="56" t="s">
        <v>335</v>
      </c>
      <c r="F90" s="56" t="s">
        <v>59</v>
      </c>
      <c r="G90" s="56" t="s">
        <v>90</v>
      </c>
      <c r="H90" s="57" t="s">
        <v>339</v>
      </c>
      <c r="I90" s="57" t="s">
        <v>345</v>
      </c>
      <c r="J90" s="126"/>
      <c r="K90" s="126" t="s">
        <v>127</v>
      </c>
      <c r="L90" s="114"/>
      <c r="M90" s="131"/>
      <c r="N90" s="116"/>
      <c r="O90" s="128"/>
      <c r="P90" s="128"/>
      <c r="Q90" s="129"/>
    </row>
    <row r="91" spans="1:17" ht="36">
      <c r="A91" s="42"/>
      <c r="B91" s="109">
        <v>52</v>
      </c>
      <c r="C91" s="56" t="s">
        <v>244</v>
      </c>
      <c r="D91" s="56" t="s">
        <v>445</v>
      </c>
      <c r="E91" s="56" t="s">
        <v>335</v>
      </c>
      <c r="F91" s="56" t="s">
        <v>59</v>
      </c>
      <c r="G91" s="56" t="s">
        <v>54</v>
      </c>
      <c r="H91" s="57" t="s">
        <v>57</v>
      </c>
      <c r="I91" s="57" t="s">
        <v>342</v>
      </c>
      <c r="J91" s="126" t="s">
        <v>68</v>
      </c>
      <c r="K91" s="126" t="s">
        <v>128</v>
      </c>
      <c r="L91" s="114"/>
      <c r="M91" s="131"/>
      <c r="N91" s="116"/>
      <c r="O91" s="128"/>
      <c r="P91" s="128"/>
      <c r="Q91" s="129"/>
    </row>
    <row r="92" spans="1:17" ht="24">
      <c r="A92" s="42"/>
      <c r="B92" s="109">
        <v>53</v>
      </c>
      <c r="C92" s="56" t="s">
        <v>244</v>
      </c>
      <c r="D92" s="56" t="s">
        <v>446</v>
      </c>
      <c r="E92" s="56" t="s">
        <v>335</v>
      </c>
      <c r="F92" s="116" t="s">
        <v>49</v>
      </c>
      <c r="G92" s="56" t="s">
        <v>54</v>
      </c>
      <c r="H92" s="58" t="s">
        <v>359</v>
      </c>
      <c r="I92" s="130" t="s">
        <v>358</v>
      </c>
      <c r="J92" s="58"/>
      <c r="K92" s="58" t="s">
        <v>360</v>
      </c>
      <c r="L92" s="114"/>
      <c r="M92" s="131"/>
      <c r="N92" s="116"/>
      <c r="O92" s="128"/>
      <c r="P92" s="128"/>
      <c r="Q92" s="129"/>
    </row>
    <row r="93" spans="1:17" ht="24">
      <c r="A93" s="42"/>
      <c r="B93" s="109">
        <v>54</v>
      </c>
      <c r="C93" s="56" t="s">
        <v>244</v>
      </c>
      <c r="D93" s="56" t="s">
        <v>447</v>
      </c>
      <c r="E93" s="56" t="s">
        <v>335</v>
      </c>
      <c r="F93" s="56" t="s">
        <v>59</v>
      </c>
      <c r="G93" s="56" t="s">
        <v>54</v>
      </c>
      <c r="H93" s="57" t="s">
        <v>340</v>
      </c>
      <c r="I93" s="57" t="s">
        <v>350</v>
      </c>
      <c r="J93" s="126"/>
      <c r="K93" s="126" t="s">
        <v>75</v>
      </c>
      <c r="L93" s="114"/>
      <c r="M93" s="131"/>
      <c r="N93" s="116"/>
      <c r="O93" s="128"/>
      <c r="P93" s="128"/>
      <c r="Q93" s="129"/>
    </row>
    <row r="94" spans="1:17" ht="36">
      <c r="A94" s="42"/>
      <c r="B94" s="109">
        <v>55</v>
      </c>
      <c r="C94" s="56" t="s">
        <v>244</v>
      </c>
      <c r="D94" s="56" t="s">
        <v>448</v>
      </c>
      <c r="E94" s="56" t="s">
        <v>335</v>
      </c>
      <c r="F94" s="56" t="s">
        <v>59</v>
      </c>
      <c r="G94" s="56" t="s">
        <v>90</v>
      </c>
      <c r="H94" s="57" t="s">
        <v>55</v>
      </c>
      <c r="I94" s="57" t="s">
        <v>344</v>
      </c>
      <c r="J94" s="126" t="s">
        <v>65</v>
      </c>
      <c r="K94" s="126" t="s">
        <v>122</v>
      </c>
      <c r="L94" s="114"/>
      <c r="M94" s="131"/>
      <c r="N94" s="116"/>
      <c r="O94" s="128"/>
      <c r="P94" s="128"/>
      <c r="Q94" s="129"/>
    </row>
    <row r="95" spans="1:17" ht="48">
      <c r="A95" s="42"/>
      <c r="B95" s="109">
        <v>56</v>
      </c>
      <c r="C95" s="56" t="s">
        <v>244</v>
      </c>
      <c r="D95" s="56" t="s">
        <v>449</v>
      </c>
      <c r="E95" s="56" t="s">
        <v>335</v>
      </c>
      <c r="F95" s="56" t="s">
        <v>59</v>
      </c>
      <c r="G95" s="56" t="s">
        <v>54</v>
      </c>
      <c r="H95" s="57" t="s">
        <v>56</v>
      </c>
      <c r="I95" s="57" t="s">
        <v>348</v>
      </c>
      <c r="J95" s="126" t="s">
        <v>130</v>
      </c>
      <c r="K95" s="126" t="s">
        <v>198</v>
      </c>
      <c r="L95" s="114"/>
      <c r="M95" s="131"/>
      <c r="N95" s="116"/>
      <c r="O95" s="128"/>
      <c r="P95" s="128"/>
      <c r="Q95" s="129"/>
    </row>
    <row r="96" spans="1:17" ht="24">
      <c r="A96" s="42"/>
      <c r="B96" s="109">
        <v>57</v>
      </c>
      <c r="C96" s="56" t="s">
        <v>244</v>
      </c>
      <c r="D96" s="56" t="s">
        <v>450</v>
      </c>
      <c r="E96" s="56" t="s">
        <v>335</v>
      </c>
      <c r="F96" s="56" t="s">
        <v>59</v>
      </c>
      <c r="G96" s="56" t="s">
        <v>54</v>
      </c>
      <c r="H96" s="57" t="s">
        <v>58</v>
      </c>
      <c r="I96" s="57" t="s">
        <v>346</v>
      </c>
      <c r="J96" s="126" t="s">
        <v>218</v>
      </c>
      <c r="K96" s="126" t="s">
        <v>221</v>
      </c>
      <c r="L96" s="114"/>
      <c r="M96" s="131"/>
      <c r="N96" s="116"/>
      <c r="O96" s="128"/>
      <c r="P96" s="128"/>
      <c r="Q96" s="129"/>
    </row>
    <row r="97" spans="1:17" ht="24">
      <c r="A97" s="42"/>
      <c r="B97" s="109">
        <v>58</v>
      </c>
      <c r="C97" s="56" t="s">
        <v>244</v>
      </c>
      <c r="D97" s="56" t="s">
        <v>451</v>
      </c>
      <c r="E97" s="56" t="s">
        <v>335</v>
      </c>
      <c r="F97" s="56" t="s">
        <v>59</v>
      </c>
      <c r="G97" s="56" t="s">
        <v>90</v>
      </c>
      <c r="H97" s="57" t="s">
        <v>74</v>
      </c>
      <c r="I97" s="57" t="s">
        <v>345</v>
      </c>
      <c r="J97" s="126"/>
      <c r="K97" s="126" t="s">
        <v>127</v>
      </c>
      <c r="L97" s="114"/>
      <c r="M97" s="131"/>
      <c r="N97" s="116"/>
      <c r="O97" s="128"/>
      <c r="P97" s="128"/>
      <c r="Q97" s="129"/>
    </row>
    <row r="98" spans="1:17" ht="36">
      <c r="A98" s="42"/>
      <c r="B98" s="109">
        <v>59</v>
      </c>
      <c r="C98" s="56" t="s">
        <v>244</v>
      </c>
      <c r="D98" s="56" t="s">
        <v>452</v>
      </c>
      <c r="E98" s="56" t="s">
        <v>335</v>
      </c>
      <c r="F98" s="56" t="s">
        <v>59</v>
      </c>
      <c r="G98" s="56" t="s">
        <v>54</v>
      </c>
      <c r="H98" s="57" t="s">
        <v>57</v>
      </c>
      <c r="I98" s="57" t="s">
        <v>351</v>
      </c>
      <c r="J98" s="126" t="s">
        <v>68</v>
      </c>
      <c r="K98" s="126" t="s">
        <v>131</v>
      </c>
      <c r="L98" s="114"/>
      <c r="M98" s="131"/>
      <c r="N98" s="116"/>
      <c r="O98" s="128"/>
      <c r="P98" s="128"/>
      <c r="Q98" s="129"/>
    </row>
    <row r="99" spans="1:17" ht="24">
      <c r="A99" s="42"/>
      <c r="B99" s="109">
        <v>60</v>
      </c>
      <c r="C99" s="56" t="s">
        <v>244</v>
      </c>
      <c r="D99" s="56" t="s">
        <v>453</v>
      </c>
      <c r="E99" s="56" t="s">
        <v>335</v>
      </c>
      <c r="F99" s="116" t="s">
        <v>49</v>
      </c>
      <c r="G99" s="56" t="s">
        <v>54</v>
      </c>
      <c r="H99" s="58" t="s">
        <v>359</v>
      </c>
      <c r="I99" s="130" t="s">
        <v>361</v>
      </c>
      <c r="J99" s="58"/>
      <c r="K99" s="58" t="s">
        <v>362</v>
      </c>
      <c r="L99" s="114"/>
      <c r="M99" s="131"/>
      <c r="N99" s="116"/>
      <c r="O99" s="128"/>
      <c r="P99" s="128"/>
      <c r="Q99" s="129"/>
    </row>
    <row r="100" spans="1:17" ht="36">
      <c r="A100" s="42"/>
      <c r="B100" s="109">
        <v>61</v>
      </c>
      <c r="C100" s="56" t="s">
        <v>244</v>
      </c>
      <c r="D100" s="56" t="s">
        <v>454</v>
      </c>
      <c r="E100" s="56" t="s">
        <v>335</v>
      </c>
      <c r="F100" s="56" t="s">
        <v>48</v>
      </c>
      <c r="G100" s="56" t="s">
        <v>54</v>
      </c>
      <c r="H100" s="57" t="s">
        <v>336</v>
      </c>
      <c r="I100" s="57" t="s">
        <v>341</v>
      </c>
      <c r="J100" s="126"/>
      <c r="K100" s="126" t="s">
        <v>64</v>
      </c>
      <c r="L100" s="114"/>
      <c r="M100" s="131"/>
      <c r="N100" s="116"/>
      <c r="O100" s="128"/>
      <c r="P100" s="128"/>
      <c r="Q100" s="129"/>
    </row>
    <row r="101" spans="1:17" ht="36">
      <c r="A101" s="42"/>
      <c r="B101" s="109">
        <v>62</v>
      </c>
      <c r="C101" s="56" t="s">
        <v>244</v>
      </c>
      <c r="D101" s="56" t="s">
        <v>455</v>
      </c>
      <c r="E101" s="56" t="s">
        <v>335</v>
      </c>
      <c r="F101" s="56" t="s">
        <v>48</v>
      </c>
      <c r="G101" s="56" t="s">
        <v>90</v>
      </c>
      <c r="H101" s="57" t="s">
        <v>55</v>
      </c>
      <c r="I101" s="57" t="s">
        <v>344</v>
      </c>
      <c r="J101" s="126" t="s">
        <v>65</v>
      </c>
      <c r="K101" s="126" t="s">
        <v>122</v>
      </c>
      <c r="L101" s="114"/>
      <c r="M101" s="131"/>
      <c r="N101" s="116"/>
      <c r="O101" s="128"/>
      <c r="P101" s="128"/>
      <c r="Q101" s="129"/>
    </row>
    <row r="102" spans="1:17" ht="24">
      <c r="A102" s="42"/>
      <c r="B102" s="109">
        <v>63</v>
      </c>
      <c r="C102" s="56" t="s">
        <v>244</v>
      </c>
      <c r="D102" s="56" t="s">
        <v>456</v>
      </c>
      <c r="E102" s="56" t="s">
        <v>335</v>
      </c>
      <c r="F102" s="56" t="s">
        <v>48</v>
      </c>
      <c r="G102" s="56" t="s">
        <v>90</v>
      </c>
      <c r="H102" s="57" t="s">
        <v>74</v>
      </c>
      <c r="I102" s="57" t="s">
        <v>345</v>
      </c>
      <c r="J102" s="126"/>
      <c r="K102" s="126" t="s">
        <v>127</v>
      </c>
      <c r="L102" s="114"/>
      <c r="M102" s="131"/>
      <c r="N102" s="116"/>
      <c r="O102" s="128"/>
      <c r="P102" s="128"/>
      <c r="Q102" s="129"/>
    </row>
    <row r="103" spans="1:17" ht="36">
      <c r="A103" s="42"/>
      <c r="B103" s="109">
        <v>64</v>
      </c>
      <c r="C103" s="56" t="s">
        <v>244</v>
      </c>
      <c r="D103" s="56" t="s">
        <v>590</v>
      </c>
      <c r="E103" s="56" t="s">
        <v>335</v>
      </c>
      <c r="F103" s="56" t="s">
        <v>48</v>
      </c>
      <c r="G103" s="56" t="s">
        <v>54</v>
      </c>
      <c r="H103" s="57" t="s">
        <v>57</v>
      </c>
      <c r="I103" s="57" t="s">
        <v>342</v>
      </c>
      <c r="J103" s="126" t="s">
        <v>68</v>
      </c>
      <c r="K103" s="126" t="s">
        <v>128</v>
      </c>
      <c r="L103" s="114"/>
      <c r="M103" s="131"/>
      <c r="N103" s="116"/>
      <c r="O103" s="128"/>
      <c r="P103" s="128"/>
      <c r="Q103" s="129"/>
    </row>
    <row r="104" spans="1:17" ht="24">
      <c r="A104" s="42"/>
      <c r="B104" s="109">
        <v>65</v>
      </c>
      <c r="C104" s="56" t="s">
        <v>244</v>
      </c>
      <c r="D104" s="56" t="s">
        <v>591</v>
      </c>
      <c r="E104" s="56" t="s">
        <v>335</v>
      </c>
      <c r="F104" s="116" t="s">
        <v>49</v>
      </c>
      <c r="G104" s="56" t="s">
        <v>54</v>
      </c>
      <c r="H104" s="58" t="s">
        <v>359</v>
      </c>
      <c r="I104" s="130" t="s">
        <v>358</v>
      </c>
      <c r="J104" s="58"/>
      <c r="K104" s="58" t="s">
        <v>360</v>
      </c>
      <c r="L104" s="114"/>
      <c r="M104" s="131"/>
      <c r="N104" s="116"/>
      <c r="O104" s="128"/>
      <c r="P104" s="128"/>
      <c r="Q104" s="129"/>
    </row>
    <row r="105" spans="1:17" ht="36">
      <c r="A105" s="42"/>
      <c r="B105" s="109">
        <v>66</v>
      </c>
      <c r="C105" s="56" t="s">
        <v>244</v>
      </c>
      <c r="D105" s="56" t="s">
        <v>592</v>
      </c>
      <c r="E105" s="56" t="s">
        <v>335</v>
      </c>
      <c r="F105" s="56" t="s">
        <v>48</v>
      </c>
      <c r="G105" s="56" t="s">
        <v>54</v>
      </c>
      <c r="H105" s="57" t="s">
        <v>337</v>
      </c>
      <c r="I105" s="57" t="s">
        <v>343</v>
      </c>
      <c r="J105" s="126"/>
      <c r="K105" s="126" t="s">
        <v>64</v>
      </c>
      <c r="L105" s="114"/>
      <c r="M105" s="131"/>
      <c r="N105" s="116"/>
      <c r="O105" s="128"/>
      <c r="P105" s="128"/>
      <c r="Q105" s="129"/>
    </row>
    <row r="106" spans="1:17" ht="36">
      <c r="A106" s="42"/>
      <c r="B106" s="109">
        <v>67</v>
      </c>
      <c r="C106" s="56" t="s">
        <v>244</v>
      </c>
      <c r="D106" s="56" t="s">
        <v>593</v>
      </c>
      <c r="E106" s="56" t="s">
        <v>335</v>
      </c>
      <c r="F106" s="56" t="s">
        <v>48</v>
      </c>
      <c r="G106" s="56" t="s">
        <v>90</v>
      </c>
      <c r="H106" s="57" t="s">
        <v>55</v>
      </c>
      <c r="I106" s="57" t="s">
        <v>344</v>
      </c>
      <c r="J106" s="126" t="s">
        <v>65</v>
      </c>
      <c r="K106" s="126" t="s">
        <v>122</v>
      </c>
      <c r="L106" s="114"/>
      <c r="M106" s="131"/>
      <c r="N106" s="116"/>
      <c r="O106" s="128"/>
      <c r="P106" s="128"/>
      <c r="Q106" s="129"/>
    </row>
    <row r="107" spans="1:17" ht="36">
      <c r="A107" s="42"/>
      <c r="B107" s="109">
        <v>68</v>
      </c>
      <c r="C107" s="56" t="s">
        <v>244</v>
      </c>
      <c r="D107" s="56" t="s">
        <v>594</v>
      </c>
      <c r="E107" s="56" t="s">
        <v>335</v>
      </c>
      <c r="F107" s="56" t="s">
        <v>48</v>
      </c>
      <c r="G107" s="56" t="s">
        <v>90</v>
      </c>
      <c r="H107" s="57" t="s">
        <v>338</v>
      </c>
      <c r="I107" s="57" t="s">
        <v>346</v>
      </c>
      <c r="J107" s="126" t="s">
        <v>218</v>
      </c>
      <c r="K107" s="126" t="s">
        <v>220</v>
      </c>
      <c r="L107" s="114"/>
      <c r="M107" s="131"/>
      <c r="N107" s="116"/>
      <c r="O107" s="128"/>
      <c r="P107" s="128"/>
      <c r="Q107" s="129"/>
    </row>
    <row r="108" spans="1:17" ht="36">
      <c r="A108" s="42"/>
      <c r="B108" s="109">
        <v>69</v>
      </c>
      <c r="C108" s="56" t="s">
        <v>244</v>
      </c>
      <c r="D108" s="56" t="s">
        <v>595</v>
      </c>
      <c r="E108" s="56" t="s">
        <v>335</v>
      </c>
      <c r="F108" s="56" t="s">
        <v>48</v>
      </c>
      <c r="G108" s="56" t="s">
        <v>90</v>
      </c>
      <c r="H108" s="57" t="s">
        <v>338</v>
      </c>
      <c r="I108" s="57" t="s">
        <v>347</v>
      </c>
      <c r="J108" s="126" t="s">
        <v>218</v>
      </c>
      <c r="K108" s="126" t="s">
        <v>349</v>
      </c>
      <c r="L108" s="114"/>
      <c r="M108" s="131"/>
      <c r="N108" s="116"/>
      <c r="O108" s="128"/>
      <c r="P108" s="128"/>
      <c r="Q108" s="129"/>
    </row>
    <row r="109" spans="1:17" ht="36">
      <c r="A109" s="42"/>
      <c r="B109" s="109">
        <v>70</v>
      </c>
      <c r="C109" s="56" t="s">
        <v>244</v>
      </c>
      <c r="D109" s="56" t="s">
        <v>596</v>
      </c>
      <c r="E109" s="56" t="s">
        <v>335</v>
      </c>
      <c r="F109" s="56" t="s">
        <v>48</v>
      </c>
      <c r="G109" s="56" t="s">
        <v>54</v>
      </c>
      <c r="H109" s="57" t="s">
        <v>56</v>
      </c>
      <c r="I109" s="57" t="s">
        <v>348</v>
      </c>
      <c r="J109" s="126" t="s">
        <v>129</v>
      </c>
      <c r="K109" s="126" t="s">
        <v>199</v>
      </c>
      <c r="L109" s="114"/>
      <c r="M109" s="131"/>
      <c r="N109" s="116"/>
      <c r="O109" s="128"/>
      <c r="P109" s="128"/>
      <c r="Q109" s="129"/>
    </row>
    <row r="110" spans="1:17" ht="24">
      <c r="A110" s="42"/>
      <c r="B110" s="109">
        <v>71</v>
      </c>
      <c r="C110" s="56" t="s">
        <v>244</v>
      </c>
      <c r="D110" s="56" t="s">
        <v>597</v>
      </c>
      <c r="E110" s="56" t="s">
        <v>335</v>
      </c>
      <c r="F110" s="56" t="s">
        <v>48</v>
      </c>
      <c r="G110" s="56" t="s">
        <v>90</v>
      </c>
      <c r="H110" s="57" t="s">
        <v>339</v>
      </c>
      <c r="I110" s="57" t="s">
        <v>345</v>
      </c>
      <c r="J110" s="126"/>
      <c r="K110" s="126" t="s">
        <v>127</v>
      </c>
      <c r="L110" s="114"/>
      <c r="M110" s="131"/>
      <c r="N110" s="116"/>
      <c r="O110" s="128"/>
      <c r="P110" s="128"/>
      <c r="Q110" s="129"/>
    </row>
    <row r="111" spans="1:17" ht="36">
      <c r="A111" s="42"/>
      <c r="B111" s="109">
        <v>72</v>
      </c>
      <c r="C111" s="56" t="s">
        <v>244</v>
      </c>
      <c r="D111" s="56" t="s">
        <v>598</v>
      </c>
      <c r="E111" s="56" t="s">
        <v>335</v>
      </c>
      <c r="F111" s="56" t="s">
        <v>48</v>
      </c>
      <c r="G111" s="56" t="s">
        <v>54</v>
      </c>
      <c r="H111" s="57" t="s">
        <v>57</v>
      </c>
      <c r="I111" s="57" t="s">
        <v>342</v>
      </c>
      <c r="J111" s="126" t="s">
        <v>68</v>
      </c>
      <c r="K111" s="126" t="s">
        <v>128</v>
      </c>
      <c r="L111" s="114"/>
      <c r="M111" s="131"/>
      <c r="N111" s="116"/>
      <c r="O111" s="128"/>
      <c r="P111" s="128"/>
      <c r="Q111" s="129"/>
    </row>
    <row r="112" spans="1:17" ht="24">
      <c r="A112" s="42"/>
      <c r="B112" s="109">
        <v>73</v>
      </c>
      <c r="C112" s="56" t="s">
        <v>244</v>
      </c>
      <c r="D112" s="56" t="s">
        <v>599</v>
      </c>
      <c r="E112" s="56" t="s">
        <v>335</v>
      </c>
      <c r="F112" s="116" t="s">
        <v>49</v>
      </c>
      <c r="G112" s="56" t="s">
        <v>54</v>
      </c>
      <c r="H112" s="58" t="s">
        <v>359</v>
      </c>
      <c r="I112" s="130" t="s">
        <v>358</v>
      </c>
      <c r="J112" s="58"/>
      <c r="K112" s="58" t="s">
        <v>360</v>
      </c>
      <c r="L112" s="114"/>
      <c r="M112" s="131"/>
      <c r="N112" s="116"/>
      <c r="O112" s="128"/>
      <c r="P112" s="128"/>
      <c r="Q112" s="129"/>
    </row>
    <row r="113" spans="1:17" ht="24">
      <c r="A113" s="42"/>
      <c r="B113" s="109">
        <v>74</v>
      </c>
      <c r="C113" s="56" t="s">
        <v>244</v>
      </c>
      <c r="D113" s="56" t="s">
        <v>600</v>
      </c>
      <c r="E113" s="56" t="s">
        <v>335</v>
      </c>
      <c r="F113" s="56" t="s">
        <v>48</v>
      </c>
      <c r="G113" s="56" t="s">
        <v>54</v>
      </c>
      <c r="H113" s="57" t="s">
        <v>340</v>
      </c>
      <c r="I113" s="57" t="s">
        <v>350</v>
      </c>
      <c r="J113" s="126"/>
      <c r="K113" s="126" t="s">
        <v>75</v>
      </c>
      <c r="L113" s="114"/>
      <c r="M113" s="131"/>
      <c r="N113" s="116"/>
      <c r="O113" s="128"/>
      <c r="P113" s="128"/>
      <c r="Q113" s="129"/>
    </row>
    <row r="114" spans="1:17" ht="36">
      <c r="A114" s="42"/>
      <c r="B114" s="109">
        <v>75</v>
      </c>
      <c r="C114" s="56" t="s">
        <v>244</v>
      </c>
      <c r="D114" s="56" t="s">
        <v>601</v>
      </c>
      <c r="E114" s="56" t="s">
        <v>335</v>
      </c>
      <c r="F114" s="56" t="s">
        <v>48</v>
      </c>
      <c r="G114" s="56" t="s">
        <v>90</v>
      </c>
      <c r="H114" s="57" t="s">
        <v>55</v>
      </c>
      <c r="I114" s="57" t="s">
        <v>344</v>
      </c>
      <c r="J114" s="126" t="s">
        <v>65</v>
      </c>
      <c r="K114" s="126" t="s">
        <v>122</v>
      </c>
      <c r="L114" s="114"/>
      <c r="M114" s="131"/>
      <c r="N114" s="116"/>
      <c r="O114" s="128"/>
      <c r="P114" s="128"/>
      <c r="Q114" s="129"/>
    </row>
    <row r="115" spans="1:17" ht="48">
      <c r="A115" s="42"/>
      <c r="B115" s="109">
        <v>76</v>
      </c>
      <c r="C115" s="56" t="s">
        <v>244</v>
      </c>
      <c r="D115" s="56" t="s">
        <v>602</v>
      </c>
      <c r="E115" s="56" t="s">
        <v>335</v>
      </c>
      <c r="F115" s="56" t="s">
        <v>48</v>
      </c>
      <c r="G115" s="56" t="s">
        <v>54</v>
      </c>
      <c r="H115" s="57" t="s">
        <v>56</v>
      </c>
      <c r="I115" s="57" t="s">
        <v>348</v>
      </c>
      <c r="J115" s="126" t="s">
        <v>130</v>
      </c>
      <c r="K115" s="126" t="s">
        <v>198</v>
      </c>
      <c r="L115" s="114"/>
      <c r="M115" s="131"/>
      <c r="N115" s="116"/>
      <c r="O115" s="128"/>
      <c r="P115" s="128"/>
      <c r="Q115" s="129"/>
    </row>
    <row r="116" spans="1:17" ht="24">
      <c r="A116" s="42"/>
      <c r="B116" s="109">
        <v>77</v>
      </c>
      <c r="C116" s="56" t="s">
        <v>244</v>
      </c>
      <c r="D116" s="56" t="s">
        <v>603</v>
      </c>
      <c r="E116" s="56" t="s">
        <v>335</v>
      </c>
      <c r="F116" s="56" t="s">
        <v>48</v>
      </c>
      <c r="G116" s="56" t="s">
        <v>54</v>
      </c>
      <c r="H116" s="57" t="s">
        <v>58</v>
      </c>
      <c r="I116" s="57" t="s">
        <v>346</v>
      </c>
      <c r="J116" s="126" t="s">
        <v>218</v>
      </c>
      <c r="K116" s="126" t="s">
        <v>221</v>
      </c>
      <c r="L116" s="114"/>
      <c r="M116" s="131"/>
      <c r="N116" s="116"/>
      <c r="O116" s="128"/>
      <c r="P116" s="128"/>
      <c r="Q116" s="129"/>
    </row>
    <row r="117" spans="1:17" ht="24">
      <c r="A117" s="42"/>
      <c r="B117" s="109">
        <v>78</v>
      </c>
      <c r="C117" s="56" t="s">
        <v>244</v>
      </c>
      <c r="D117" s="56" t="s">
        <v>604</v>
      </c>
      <c r="E117" s="56" t="s">
        <v>335</v>
      </c>
      <c r="F117" s="56" t="s">
        <v>48</v>
      </c>
      <c r="G117" s="56" t="s">
        <v>90</v>
      </c>
      <c r="H117" s="57" t="s">
        <v>74</v>
      </c>
      <c r="I117" s="57" t="s">
        <v>345</v>
      </c>
      <c r="J117" s="126"/>
      <c r="K117" s="126" t="s">
        <v>127</v>
      </c>
      <c r="L117" s="114"/>
      <c r="M117" s="131"/>
      <c r="N117" s="116"/>
      <c r="O117" s="128"/>
      <c r="P117" s="128"/>
      <c r="Q117" s="129"/>
    </row>
    <row r="118" spans="1:17" ht="36">
      <c r="A118" s="42"/>
      <c r="B118" s="109">
        <v>79</v>
      </c>
      <c r="C118" s="56" t="s">
        <v>244</v>
      </c>
      <c r="D118" s="56" t="s">
        <v>605</v>
      </c>
      <c r="E118" s="56" t="s">
        <v>335</v>
      </c>
      <c r="F118" s="56" t="s">
        <v>48</v>
      </c>
      <c r="G118" s="56" t="s">
        <v>54</v>
      </c>
      <c r="H118" s="57" t="s">
        <v>57</v>
      </c>
      <c r="I118" s="57" t="s">
        <v>351</v>
      </c>
      <c r="J118" s="126" t="s">
        <v>68</v>
      </c>
      <c r="K118" s="126" t="s">
        <v>131</v>
      </c>
      <c r="L118" s="114"/>
      <c r="M118" s="131"/>
      <c r="N118" s="116"/>
      <c r="O118" s="128"/>
      <c r="P118" s="128"/>
      <c r="Q118" s="129"/>
    </row>
    <row r="119" spans="1:17" ht="24">
      <c r="A119" s="42"/>
      <c r="B119" s="118">
        <v>80</v>
      </c>
      <c r="C119" s="56" t="s">
        <v>244</v>
      </c>
      <c r="D119" s="119" t="s">
        <v>606</v>
      </c>
      <c r="E119" s="119" t="s">
        <v>335</v>
      </c>
      <c r="F119" s="121" t="s">
        <v>49</v>
      </c>
      <c r="G119" s="119" t="s">
        <v>54</v>
      </c>
      <c r="H119" s="132" t="s">
        <v>359</v>
      </c>
      <c r="I119" s="133" t="s">
        <v>361</v>
      </c>
      <c r="J119" s="132"/>
      <c r="K119" s="132" t="s">
        <v>362</v>
      </c>
      <c r="L119" s="124"/>
      <c r="M119" s="134"/>
      <c r="N119" s="116"/>
      <c r="O119" s="135"/>
      <c r="P119" s="135"/>
      <c r="Q119" s="136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119" xr:uid="{75EB2352-5B38-4086-BB47-62F3F34222E6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4" orientation="landscape" verticalDpi="4" r:id="rId1"/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CF11-7D09-4393-B21B-8F35282751A8}">
  <sheetPr>
    <pageSetUpPr fitToPage="1"/>
  </sheetPr>
  <dimension ref="A1:Q102"/>
  <sheetViews>
    <sheetView zoomScaleNormal="100" workbookViewId="0">
      <selection activeCell="N74" sqref="N74"/>
    </sheetView>
  </sheetViews>
  <sheetFormatPr defaultColWidth="8.88671875" defaultRowHeight="13.5"/>
  <cols>
    <col min="1" max="1" width="2.6640625" style="36" customWidth="1"/>
    <col min="2" max="2" width="7.109375" style="38" customWidth="1"/>
    <col min="3" max="4" width="10.21875" style="38" customWidth="1"/>
    <col min="5" max="5" width="13.6640625" style="38" customWidth="1"/>
    <col min="6" max="7" width="5.6640625" style="38" customWidth="1"/>
    <col min="8" max="8" width="15.6640625" style="38" customWidth="1"/>
    <col min="9" max="9" width="25.6640625" style="38" customWidth="1"/>
    <col min="10" max="10" width="15.6640625" style="36" customWidth="1"/>
    <col min="11" max="11" width="31.88671875" style="36" customWidth="1"/>
    <col min="12" max="13" width="8.6640625" style="36" customWidth="1"/>
    <col min="14" max="14" width="9.109375" style="36" customWidth="1"/>
    <col min="15" max="15" width="30.6640625" style="36" customWidth="1"/>
    <col min="16" max="16" width="10.5546875" style="36" bestFit="1" customWidth="1"/>
    <col min="17" max="16384" width="8.88671875" style="36"/>
  </cols>
  <sheetData>
    <row r="1" spans="1:16" ht="66" customHeight="1">
      <c r="B1" s="39"/>
      <c r="C1" s="39"/>
      <c r="D1" s="39"/>
      <c r="E1" s="39"/>
      <c r="F1" s="40"/>
      <c r="G1" s="40"/>
      <c r="H1" s="40"/>
      <c r="I1" s="40"/>
      <c r="J1" s="41"/>
      <c r="K1" s="41"/>
    </row>
    <row r="2" spans="1:16" ht="58.9" customHeight="1">
      <c r="A2" s="42"/>
      <c r="B2" s="59" t="s">
        <v>210</v>
      </c>
      <c r="C2" s="88" t="s">
        <v>207</v>
      </c>
      <c r="D2" s="89"/>
      <c r="E2" s="89"/>
      <c r="F2" s="89"/>
      <c r="G2" s="89"/>
      <c r="H2" s="89"/>
      <c r="I2" s="89"/>
      <c r="J2" s="89"/>
      <c r="K2" s="90"/>
      <c r="L2" s="27"/>
      <c r="M2" s="45"/>
      <c r="N2" s="45"/>
      <c r="O2" s="45"/>
      <c r="P2" s="45"/>
    </row>
    <row r="3" spans="1:16" ht="7.5" customHeight="1">
      <c r="B3" s="54"/>
      <c r="C3" s="54"/>
      <c r="D3" s="54"/>
      <c r="E3" s="54"/>
      <c r="F3" s="51"/>
      <c r="G3" s="51"/>
      <c r="H3" s="51"/>
      <c r="I3" s="51"/>
      <c r="J3" s="52"/>
      <c r="K3" s="52"/>
      <c r="L3" s="25"/>
    </row>
    <row r="4" spans="1:16">
      <c r="A4" s="42"/>
      <c r="B4" s="93" t="s">
        <v>37</v>
      </c>
      <c r="C4" s="93"/>
      <c r="D4" s="93"/>
      <c r="E4" s="93"/>
      <c r="F4" s="93"/>
      <c r="G4" s="93"/>
      <c r="H4" s="93"/>
      <c r="I4" s="93"/>
      <c r="J4" s="93"/>
      <c r="K4" s="93"/>
      <c r="L4" s="29"/>
    </row>
    <row r="5" spans="1:16" s="45" customFormat="1">
      <c r="A5" s="44"/>
      <c r="B5" s="94"/>
      <c r="C5" s="94"/>
      <c r="D5" s="94"/>
      <c r="E5" s="94"/>
      <c r="F5" s="94"/>
      <c r="G5" s="94"/>
      <c r="H5" s="94"/>
      <c r="I5" s="94"/>
      <c r="J5" s="94"/>
      <c r="K5" s="94"/>
      <c r="L5" s="30"/>
    </row>
    <row r="6" spans="1:16" s="45" customFormat="1">
      <c r="A6" s="44"/>
      <c r="B6" s="94"/>
      <c r="C6" s="94"/>
      <c r="D6" s="94"/>
      <c r="E6" s="94"/>
      <c r="F6" s="94"/>
      <c r="G6" s="94"/>
      <c r="H6" s="94"/>
      <c r="I6" s="94"/>
      <c r="J6" s="94"/>
      <c r="K6" s="94"/>
      <c r="L6" s="30"/>
    </row>
    <row r="7" spans="1:16" s="45" customFormat="1">
      <c r="A7" s="44"/>
      <c r="B7" s="94"/>
      <c r="C7" s="94"/>
      <c r="D7" s="94"/>
      <c r="E7" s="94"/>
      <c r="F7" s="94"/>
      <c r="G7" s="94"/>
      <c r="H7" s="94"/>
      <c r="I7" s="94"/>
      <c r="J7" s="94"/>
      <c r="K7" s="94"/>
      <c r="L7" s="30"/>
    </row>
    <row r="8" spans="1:16" s="45" customFormat="1">
      <c r="A8" s="44"/>
      <c r="B8" s="94"/>
      <c r="C8" s="94"/>
      <c r="D8" s="94"/>
      <c r="E8" s="94"/>
      <c r="F8" s="94"/>
      <c r="G8" s="94"/>
      <c r="H8" s="94"/>
      <c r="I8" s="94"/>
      <c r="J8" s="94"/>
      <c r="K8" s="94"/>
      <c r="L8" s="30"/>
    </row>
    <row r="9" spans="1:16" s="45" customFormat="1">
      <c r="A9" s="44"/>
      <c r="B9" s="94"/>
      <c r="C9" s="94"/>
      <c r="D9" s="94"/>
      <c r="E9" s="94"/>
      <c r="F9" s="94"/>
      <c r="G9" s="94"/>
      <c r="H9" s="94"/>
      <c r="I9" s="94"/>
      <c r="J9" s="94"/>
      <c r="K9" s="94"/>
      <c r="L9" s="30"/>
    </row>
    <row r="10" spans="1:16" s="45" customFormat="1">
      <c r="A10" s="4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30"/>
    </row>
    <row r="11" spans="1:16" s="45" customFormat="1">
      <c r="A11" s="4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30"/>
    </row>
    <row r="12" spans="1:16" s="45" customFormat="1">
      <c r="A12" s="4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30"/>
    </row>
    <row r="13" spans="1:16" s="45" customFormat="1">
      <c r="A13" s="4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30"/>
    </row>
    <row r="14" spans="1:16" s="45" customFormat="1">
      <c r="A14" s="4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30"/>
    </row>
    <row r="15" spans="1:16" s="45" customFormat="1">
      <c r="A15" s="4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30"/>
    </row>
    <row r="16" spans="1:16" s="45" customFormat="1">
      <c r="A16" s="4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30"/>
    </row>
    <row r="17" spans="1:12" s="45" customFormat="1">
      <c r="A17" s="4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30"/>
    </row>
    <row r="18" spans="1:12" s="45" customFormat="1">
      <c r="A18" s="4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30"/>
    </row>
    <row r="19" spans="1:12" s="45" customFormat="1">
      <c r="A19" s="4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30"/>
    </row>
    <row r="20" spans="1:12" s="45" customFormat="1">
      <c r="A20" s="4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30"/>
    </row>
    <row r="21" spans="1:12" s="45" customFormat="1">
      <c r="A21" s="4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30"/>
    </row>
    <row r="22" spans="1:12" s="45" customFormat="1">
      <c r="A22" s="4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30"/>
    </row>
    <row r="23" spans="1:12" s="45" customFormat="1">
      <c r="A23" s="4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30"/>
    </row>
    <row r="24" spans="1:12" s="45" customFormat="1">
      <c r="A24" s="4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30"/>
    </row>
    <row r="25" spans="1:12" s="45" customFormat="1">
      <c r="A25" s="4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30"/>
    </row>
    <row r="26" spans="1:12" s="45" customFormat="1">
      <c r="A26" s="4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30"/>
    </row>
    <row r="27" spans="1:12" s="45" customFormat="1">
      <c r="A27" s="4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30"/>
    </row>
    <row r="28" spans="1:12" s="45" customFormat="1">
      <c r="A28" s="4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30"/>
    </row>
    <row r="29" spans="1:12">
      <c r="A29" s="42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29"/>
    </row>
    <row r="30" spans="1:12">
      <c r="A30" s="4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29"/>
    </row>
    <row r="31" spans="1:12">
      <c r="A31" s="42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29"/>
    </row>
    <row r="32" spans="1:12">
      <c r="A32" s="42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9"/>
    </row>
    <row r="33" spans="1:17">
      <c r="A33" s="42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9"/>
    </row>
    <row r="34" spans="1:17">
      <c r="A34" s="42"/>
      <c r="B34" s="93" t="s">
        <v>26</v>
      </c>
      <c r="C34" s="93"/>
      <c r="D34" s="93"/>
      <c r="E34" s="93"/>
      <c r="F34" s="93"/>
      <c r="G34" s="93"/>
      <c r="H34" s="93"/>
      <c r="I34" s="93"/>
      <c r="J34" s="93"/>
      <c r="K34" s="93"/>
      <c r="L34" s="29"/>
    </row>
    <row r="35" spans="1:17" ht="65.45" customHeight="1">
      <c r="A35" s="42"/>
      <c r="B35" s="91" t="s">
        <v>607</v>
      </c>
      <c r="C35" s="95"/>
      <c r="D35" s="95"/>
      <c r="E35" s="96"/>
      <c r="F35" s="96"/>
      <c r="G35" s="96"/>
      <c r="H35" s="96"/>
      <c r="I35" s="96"/>
      <c r="J35" s="96"/>
      <c r="K35" s="96"/>
      <c r="L35" s="29"/>
    </row>
    <row r="36" spans="1:17">
      <c r="A36" s="42"/>
      <c r="B36" s="93" t="s">
        <v>38</v>
      </c>
      <c r="C36" s="93"/>
      <c r="D36" s="93"/>
      <c r="E36" s="93"/>
      <c r="F36" s="93"/>
      <c r="G36" s="93"/>
      <c r="H36" s="93"/>
      <c r="I36" s="93"/>
      <c r="J36" s="93"/>
      <c r="K36" s="93"/>
      <c r="L36" s="29"/>
    </row>
    <row r="37" spans="1:17" ht="30" customHeight="1">
      <c r="A37" s="42"/>
      <c r="B37" s="92" t="s">
        <v>181</v>
      </c>
      <c r="C37" s="92"/>
      <c r="D37" s="92"/>
      <c r="E37" s="92"/>
      <c r="F37" s="92"/>
      <c r="G37" s="92"/>
      <c r="H37" s="92"/>
      <c r="I37" s="92"/>
      <c r="J37" s="92"/>
      <c r="K37" s="92"/>
      <c r="L37" s="29"/>
    </row>
    <row r="38" spans="1:17" ht="10.15" customHeight="1">
      <c r="B38" s="54"/>
      <c r="C38" s="54"/>
      <c r="D38" s="54"/>
      <c r="E38" s="54"/>
      <c r="F38" s="51"/>
      <c r="G38" s="51"/>
      <c r="H38" s="51"/>
      <c r="I38" s="51"/>
      <c r="J38" s="52"/>
      <c r="K38" s="52"/>
      <c r="L38" s="32"/>
      <c r="M38" s="41"/>
      <c r="N38" s="41"/>
      <c r="O38" s="41"/>
      <c r="P38" s="41"/>
      <c r="Q38" s="41"/>
    </row>
    <row r="39" spans="1:17" ht="15" customHeight="1">
      <c r="A39" s="42"/>
      <c r="B39" s="105" t="s">
        <v>196</v>
      </c>
      <c r="C39" s="106" t="s">
        <v>352</v>
      </c>
      <c r="D39" s="106" t="s">
        <v>19</v>
      </c>
      <c r="E39" s="106" t="s">
        <v>40</v>
      </c>
      <c r="F39" s="106" t="s">
        <v>27</v>
      </c>
      <c r="G39" s="106" t="s">
        <v>28</v>
      </c>
      <c r="H39" s="106" t="s">
        <v>29</v>
      </c>
      <c r="I39" s="106" t="s">
        <v>41</v>
      </c>
      <c r="J39" s="106" t="s">
        <v>30</v>
      </c>
      <c r="K39" s="106" t="s">
        <v>31</v>
      </c>
      <c r="L39" s="106" t="s">
        <v>32</v>
      </c>
      <c r="M39" s="107" t="s">
        <v>33</v>
      </c>
      <c r="N39" s="107" t="s">
        <v>34</v>
      </c>
      <c r="O39" s="107" t="s">
        <v>35</v>
      </c>
      <c r="P39" s="107" t="s">
        <v>39</v>
      </c>
      <c r="Q39" s="108" t="s">
        <v>36</v>
      </c>
    </row>
    <row r="40" spans="1:17" ht="72">
      <c r="A40" s="42"/>
      <c r="B40" s="109">
        <v>1</v>
      </c>
      <c r="C40" s="56" t="s">
        <v>226</v>
      </c>
      <c r="D40" s="56" t="s">
        <v>468</v>
      </c>
      <c r="E40" s="110" t="s">
        <v>382</v>
      </c>
      <c r="F40" s="56" t="s">
        <v>76</v>
      </c>
      <c r="G40" s="56" t="s">
        <v>54</v>
      </c>
      <c r="H40" s="110" t="s">
        <v>363</v>
      </c>
      <c r="I40" s="110" t="s">
        <v>364</v>
      </c>
      <c r="J40" s="110"/>
      <c r="K40" s="111" t="s">
        <v>132</v>
      </c>
      <c r="L40" s="112"/>
      <c r="M40" s="127"/>
      <c r="N40" s="116"/>
      <c r="O40" s="128"/>
      <c r="P40" s="128"/>
      <c r="Q40" s="129"/>
    </row>
    <row r="41" spans="1:17" ht="24">
      <c r="A41" s="42"/>
      <c r="B41" s="109">
        <v>2</v>
      </c>
      <c r="C41" s="56" t="s">
        <v>226</v>
      </c>
      <c r="D41" s="56" t="s">
        <v>608</v>
      </c>
      <c r="E41" s="110" t="s">
        <v>382</v>
      </c>
      <c r="F41" s="56" t="s">
        <v>76</v>
      </c>
      <c r="G41" s="56" t="s">
        <v>77</v>
      </c>
      <c r="H41" s="110" t="s">
        <v>83</v>
      </c>
      <c r="I41" s="110" t="s">
        <v>366</v>
      </c>
      <c r="J41" s="110" t="s">
        <v>365</v>
      </c>
      <c r="K41" s="111" t="s">
        <v>370</v>
      </c>
      <c r="L41" s="112"/>
      <c r="M41" s="127"/>
      <c r="N41" s="116"/>
      <c r="O41" s="128"/>
      <c r="P41" s="128"/>
      <c r="Q41" s="129"/>
    </row>
    <row r="42" spans="1:17" ht="24">
      <c r="A42" s="42"/>
      <c r="B42" s="109">
        <v>3</v>
      </c>
      <c r="C42" s="56" t="s">
        <v>226</v>
      </c>
      <c r="D42" s="56" t="s">
        <v>609</v>
      </c>
      <c r="E42" s="110" t="s">
        <v>382</v>
      </c>
      <c r="F42" s="56" t="s">
        <v>59</v>
      </c>
      <c r="G42" s="56" t="s">
        <v>54</v>
      </c>
      <c r="H42" s="110" t="s">
        <v>83</v>
      </c>
      <c r="I42" s="110" t="s">
        <v>367</v>
      </c>
      <c r="J42" s="110" t="s">
        <v>365</v>
      </c>
      <c r="K42" s="110" t="s">
        <v>371</v>
      </c>
      <c r="L42" s="112"/>
      <c r="M42" s="127"/>
      <c r="N42" s="116"/>
      <c r="O42" s="128"/>
      <c r="P42" s="128"/>
      <c r="Q42" s="129"/>
    </row>
    <row r="43" spans="1:17" ht="24">
      <c r="A43" s="42"/>
      <c r="B43" s="109">
        <v>4</v>
      </c>
      <c r="C43" s="56" t="s">
        <v>226</v>
      </c>
      <c r="D43" s="56" t="s">
        <v>610</v>
      </c>
      <c r="E43" s="110" t="s">
        <v>382</v>
      </c>
      <c r="F43" s="56" t="s">
        <v>59</v>
      </c>
      <c r="G43" s="56" t="s">
        <v>54</v>
      </c>
      <c r="H43" s="110" t="s">
        <v>83</v>
      </c>
      <c r="I43" s="110" t="s">
        <v>368</v>
      </c>
      <c r="J43" s="110" t="s">
        <v>369</v>
      </c>
      <c r="K43" s="110" t="s">
        <v>372</v>
      </c>
      <c r="L43" s="112"/>
      <c r="M43" s="127"/>
      <c r="N43" s="116"/>
      <c r="O43" s="128"/>
      <c r="P43" s="128"/>
      <c r="Q43" s="129"/>
    </row>
    <row r="44" spans="1:17" ht="48">
      <c r="A44" s="42"/>
      <c r="B44" s="109">
        <v>5</v>
      </c>
      <c r="C44" s="56" t="s">
        <v>226</v>
      </c>
      <c r="D44" s="56" t="s">
        <v>611</v>
      </c>
      <c r="E44" s="110" t="s">
        <v>382</v>
      </c>
      <c r="F44" s="56" t="s">
        <v>76</v>
      </c>
      <c r="G44" s="56" t="s">
        <v>90</v>
      </c>
      <c r="H44" s="110" t="s">
        <v>84</v>
      </c>
      <c r="I44" s="110" t="s">
        <v>373</v>
      </c>
      <c r="J44" s="110" t="s">
        <v>81</v>
      </c>
      <c r="K44" s="111" t="s">
        <v>82</v>
      </c>
      <c r="L44" s="112"/>
      <c r="M44" s="127"/>
      <c r="N44" s="116"/>
      <c r="O44" s="128"/>
      <c r="P44" s="128"/>
      <c r="Q44" s="129"/>
    </row>
    <row r="45" spans="1:17" ht="36">
      <c r="A45" s="42"/>
      <c r="B45" s="109">
        <v>6</v>
      </c>
      <c r="C45" s="56" t="s">
        <v>226</v>
      </c>
      <c r="D45" s="56" t="s">
        <v>612</v>
      </c>
      <c r="E45" s="110" t="s">
        <v>382</v>
      </c>
      <c r="F45" s="56" t="s">
        <v>76</v>
      </c>
      <c r="G45" s="56" t="s">
        <v>90</v>
      </c>
      <c r="H45" s="110" t="s">
        <v>374</v>
      </c>
      <c r="I45" s="110" t="s">
        <v>376</v>
      </c>
      <c r="J45" s="110" t="s">
        <v>79</v>
      </c>
      <c r="K45" s="111" t="s">
        <v>78</v>
      </c>
      <c r="L45" s="112"/>
      <c r="M45" s="127"/>
      <c r="N45" s="116"/>
      <c r="O45" s="128"/>
      <c r="P45" s="128"/>
      <c r="Q45" s="129"/>
    </row>
    <row r="46" spans="1:17" ht="36">
      <c r="A46" s="42"/>
      <c r="B46" s="109">
        <v>7</v>
      </c>
      <c r="C46" s="56" t="s">
        <v>226</v>
      </c>
      <c r="D46" s="56" t="s">
        <v>613</v>
      </c>
      <c r="E46" s="110" t="s">
        <v>382</v>
      </c>
      <c r="F46" s="56" t="s">
        <v>76</v>
      </c>
      <c r="G46" s="56" t="s">
        <v>90</v>
      </c>
      <c r="H46" s="110" t="s">
        <v>375</v>
      </c>
      <c r="I46" s="110" t="s">
        <v>378</v>
      </c>
      <c r="J46" s="110" t="s">
        <v>377</v>
      </c>
      <c r="K46" s="111" t="s">
        <v>80</v>
      </c>
      <c r="L46" s="112"/>
      <c r="M46" s="127"/>
      <c r="N46" s="116"/>
      <c r="O46" s="128"/>
      <c r="P46" s="128"/>
      <c r="Q46" s="129"/>
    </row>
    <row r="47" spans="1:17" ht="36">
      <c r="A47" s="42"/>
      <c r="B47" s="109">
        <v>8</v>
      </c>
      <c r="C47" s="56" t="s">
        <v>226</v>
      </c>
      <c r="D47" s="56" t="s">
        <v>614</v>
      </c>
      <c r="E47" s="110" t="s">
        <v>382</v>
      </c>
      <c r="F47" s="56" t="s">
        <v>76</v>
      </c>
      <c r="G47" s="56" t="s">
        <v>90</v>
      </c>
      <c r="H47" s="110" t="s">
        <v>87</v>
      </c>
      <c r="I47" s="110" t="s">
        <v>379</v>
      </c>
      <c r="J47" s="110"/>
      <c r="K47" s="111" t="s">
        <v>85</v>
      </c>
      <c r="L47" s="112"/>
      <c r="M47" s="127"/>
      <c r="N47" s="116"/>
      <c r="O47" s="128"/>
      <c r="P47" s="128"/>
      <c r="Q47" s="129"/>
    </row>
    <row r="48" spans="1:17" ht="36">
      <c r="A48" s="42"/>
      <c r="B48" s="109">
        <v>9</v>
      </c>
      <c r="C48" s="56" t="s">
        <v>226</v>
      </c>
      <c r="D48" s="56" t="s">
        <v>615</v>
      </c>
      <c r="E48" s="110" t="s">
        <v>382</v>
      </c>
      <c r="F48" s="56" t="s">
        <v>76</v>
      </c>
      <c r="G48" s="56" t="s">
        <v>90</v>
      </c>
      <c r="H48" s="110" t="s">
        <v>86</v>
      </c>
      <c r="I48" s="110" t="s">
        <v>380</v>
      </c>
      <c r="J48" s="110"/>
      <c r="K48" s="111" t="s">
        <v>88</v>
      </c>
      <c r="L48" s="112"/>
      <c r="M48" s="127"/>
      <c r="N48" s="116"/>
      <c r="O48" s="128"/>
      <c r="P48" s="128"/>
      <c r="Q48" s="129"/>
    </row>
    <row r="49" spans="1:17" ht="48">
      <c r="A49" s="42"/>
      <c r="B49" s="109">
        <v>10</v>
      </c>
      <c r="C49" s="56" t="s">
        <v>226</v>
      </c>
      <c r="D49" s="56" t="s">
        <v>616</v>
      </c>
      <c r="E49" s="110" t="s">
        <v>382</v>
      </c>
      <c r="F49" s="56" t="s">
        <v>59</v>
      </c>
      <c r="G49" s="56" t="s">
        <v>90</v>
      </c>
      <c r="H49" s="110" t="s">
        <v>89</v>
      </c>
      <c r="I49" s="110" t="s">
        <v>384</v>
      </c>
      <c r="J49" s="111"/>
      <c r="K49" s="111" t="s">
        <v>385</v>
      </c>
      <c r="L49" s="112"/>
      <c r="M49" s="127"/>
      <c r="N49" s="116"/>
      <c r="O49" s="128"/>
      <c r="P49" s="128"/>
      <c r="Q49" s="129"/>
    </row>
    <row r="50" spans="1:17" ht="36">
      <c r="A50" s="42"/>
      <c r="B50" s="109">
        <v>11</v>
      </c>
      <c r="C50" s="56" t="s">
        <v>226</v>
      </c>
      <c r="D50" s="56" t="s">
        <v>617</v>
      </c>
      <c r="E50" s="110" t="s">
        <v>382</v>
      </c>
      <c r="F50" s="56" t="s">
        <v>76</v>
      </c>
      <c r="G50" s="56" t="s">
        <v>90</v>
      </c>
      <c r="H50" s="110" t="s">
        <v>89</v>
      </c>
      <c r="I50" s="110" t="s">
        <v>386</v>
      </c>
      <c r="J50" s="111"/>
      <c r="K50" s="111" t="s">
        <v>387</v>
      </c>
      <c r="L50" s="112"/>
      <c r="M50" s="127"/>
      <c r="N50" s="116"/>
      <c r="O50" s="128"/>
      <c r="P50" s="128"/>
      <c r="Q50" s="129"/>
    </row>
    <row r="51" spans="1:17" ht="60">
      <c r="A51" s="42"/>
      <c r="B51" s="109">
        <v>12</v>
      </c>
      <c r="C51" s="56" t="s">
        <v>226</v>
      </c>
      <c r="D51" s="56" t="s">
        <v>618</v>
      </c>
      <c r="E51" s="110" t="s">
        <v>382</v>
      </c>
      <c r="F51" s="56" t="s">
        <v>76</v>
      </c>
      <c r="G51" s="56" t="s">
        <v>77</v>
      </c>
      <c r="H51" s="110" t="s">
        <v>93</v>
      </c>
      <c r="I51" s="110" t="s">
        <v>388</v>
      </c>
      <c r="J51" s="111"/>
      <c r="K51" s="111" t="s">
        <v>389</v>
      </c>
      <c r="L51" s="112"/>
      <c r="M51" s="127"/>
      <c r="N51" s="116"/>
      <c r="O51" s="128"/>
      <c r="P51" s="128"/>
      <c r="Q51" s="129"/>
    </row>
    <row r="52" spans="1:17" ht="36">
      <c r="A52" s="42"/>
      <c r="B52" s="109">
        <v>13</v>
      </c>
      <c r="C52" s="56" t="s">
        <v>226</v>
      </c>
      <c r="D52" s="56" t="s">
        <v>619</v>
      </c>
      <c r="E52" s="110" t="s">
        <v>382</v>
      </c>
      <c r="F52" s="56" t="s">
        <v>76</v>
      </c>
      <c r="G52" s="56" t="s">
        <v>77</v>
      </c>
      <c r="H52" s="110" t="s">
        <v>95</v>
      </c>
      <c r="I52" s="110" t="s">
        <v>388</v>
      </c>
      <c r="J52" s="110" t="s">
        <v>94</v>
      </c>
      <c r="K52" s="110" t="s">
        <v>96</v>
      </c>
      <c r="L52" s="112"/>
      <c r="M52" s="127"/>
      <c r="N52" s="116"/>
      <c r="O52" s="128"/>
      <c r="P52" s="128"/>
      <c r="Q52" s="129"/>
    </row>
    <row r="53" spans="1:17" ht="48">
      <c r="A53" s="42"/>
      <c r="B53" s="109">
        <v>14</v>
      </c>
      <c r="C53" s="56" t="s">
        <v>226</v>
      </c>
      <c r="D53" s="56" t="s">
        <v>620</v>
      </c>
      <c r="E53" s="110" t="s">
        <v>382</v>
      </c>
      <c r="F53" s="56" t="s">
        <v>76</v>
      </c>
      <c r="G53" s="56" t="s">
        <v>90</v>
      </c>
      <c r="H53" s="110" t="s">
        <v>390</v>
      </c>
      <c r="I53" s="110" t="s">
        <v>392</v>
      </c>
      <c r="J53" s="110"/>
      <c r="K53" s="110" t="s">
        <v>97</v>
      </c>
      <c r="L53" s="112"/>
      <c r="M53" s="127"/>
      <c r="N53" s="116"/>
      <c r="O53" s="128"/>
      <c r="P53" s="128"/>
      <c r="Q53" s="129"/>
    </row>
    <row r="54" spans="1:17" ht="48">
      <c r="A54" s="42"/>
      <c r="B54" s="109">
        <v>15</v>
      </c>
      <c r="C54" s="56" t="s">
        <v>226</v>
      </c>
      <c r="D54" s="56" t="s">
        <v>621</v>
      </c>
      <c r="E54" s="110" t="s">
        <v>382</v>
      </c>
      <c r="F54" s="56" t="s">
        <v>76</v>
      </c>
      <c r="G54" s="56" t="s">
        <v>90</v>
      </c>
      <c r="H54" s="110" t="s">
        <v>391</v>
      </c>
      <c r="I54" s="110" t="s">
        <v>393</v>
      </c>
      <c r="J54" s="110"/>
      <c r="K54" s="110" t="s">
        <v>98</v>
      </c>
      <c r="L54" s="112"/>
      <c r="M54" s="127"/>
      <c r="N54" s="116"/>
      <c r="O54" s="128"/>
      <c r="P54" s="128"/>
      <c r="Q54" s="129"/>
    </row>
    <row r="55" spans="1:17" ht="72">
      <c r="A55" s="42"/>
      <c r="B55" s="109">
        <v>16</v>
      </c>
      <c r="C55" s="56" t="s">
        <v>226</v>
      </c>
      <c r="D55" s="56" t="s">
        <v>622</v>
      </c>
      <c r="E55" s="110" t="s">
        <v>382</v>
      </c>
      <c r="F55" s="56" t="s">
        <v>48</v>
      </c>
      <c r="G55" s="56" t="s">
        <v>54</v>
      </c>
      <c r="H55" s="110" t="s">
        <v>363</v>
      </c>
      <c r="I55" s="110" t="s">
        <v>364</v>
      </c>
      <c r="J55" s="110"/>
      <c r="K55" s="111" t="s">
        <v>132</v>
      </c>
      <c r="L55" s="112"/>
      <c r="M55" s="127"/>
      <c r="N55" s="116"/>
      <c r="O55" s="128"/>
      <c r="P55" s="128"/>
      <c r="Q55" s="129"/>
    </row>
    <row r="56" spans="1:17" ht="24">
      <c r="A56" s="42"/>
      <c r="B56" s="109">
        <v>17</v>
      </c>
      <c r="C56" s="56" t="s">
        <v>226</v>
      </c>
      <c r="D56" s="56" t="s">
        <v>623</v>
      </c>
      <c r="E56" s="110" t="s">
        <v>382</v>
      </c>
      <c r="F56" s="56" t="s">
        <v>48</v>
      </c>
      <c r="G56" s="56" t="s">
        <v>54</v>
      </c>
      <c r="H56" s="110" t="s">
        <v>83</v>
      </c>
      <c r="I56" s="110" t="s">
        <v>366</v>
      </c>
      <c r="J56" s="110" t="s">
        <v>365</v>
      </c>
      <c r="K56" s="111" t="s">
        <v>370</v>
      </c>
      <c r="L56" s="112"/>
      <c r="M56" s="127"/>
      <c r="N56" s="116"/>
      <c r="O56" s="128"/>
      <c r="P56" s="128"/>
      <c r="Q56" s="129"/>
    </row>
    <row r="57" spans="1:17" ht="24">
      <c r="A57" s="42"/>
      <c r="B57" s="109">
        <v>18</v>
      </c>
      <c r="C57" s="56" t="s">
        <v>226</v>
      </c>
      <c r="D57" s="56" t="s">
        <v>624</v>
      </c>
      <c r="E57" s="110" t="s">
        <v>382</v>
      </c>
      <c r="F57" s="56" t="s">
        <v>48</v>
      </c>
      <c r="G57" s="56" t="s">
        <v>54</v>
      </c>
      <c r="H57" s="110" t="s">
        <v>83</v>
      </c>
      <c r="I57" s="110" t="s">
        <v>367</v>
      </c>
      <c r="J57" s="110" t="s">
        <v>365</v>
      </c>
      <c r="K57" s="110" t="s">
        <v>371</v>
      </c>
      <c r="L57" s="112"/>
      <c r="M57" s="127"/>
      <c r="N57" s="116"/>
      <c r="O57" s="128"/>
      <c r="P57" s="128"/>
      <c r="Q57" s="129"/>
    </row>
    <row r="58" spans="1:17" ht="24">
      <c r="A58" s="42"/>
      <c r="B58" s="109">
        <v>19</v>
      </c>
      <c r="C58" s="56" t="s">
        <v>226</v>
      </c>
      <c r="D58" s="56" t="s">
        <v>625</v>
      </c>
      <c r="E58" s="110" t="s">
        <v>382</v>
      </c>
      <c r="F58" s="56" t="s">
        <v>48</v>
      </c>
      <c r="G58" s="56" t="s">
        <v>54</v>
      </c>
      <c r="H58" s="110" t="s">
        <v>83</v>
      </c>
      <c r="I58" s="110" t="s">
        <v>368</v>
      </c>
      <c r="J58" s="110" t="s">
        <v>369</v>
      </c>
      <c r="K58" s="110" t="s">
        <v>372</v>
      </c>
      <c r="L58" s="112"/>
      <c r="M58" s="127"/>
      <c r="N58" s="116"/>
      <c r="O58" s="128"/>
      <c r="P58" s="128"/>
      <c r="Q58" s="129"/>
    </row>
    <row r="59" spans="1:17" ht="48">
      <c r="A59" s="42"/>
      <c r="B59" s="109">
        <v>20</v>
      </c>
      <c r="C59" s="56" t="s">
        <v>226</v>
      </c>
      <c r="D59" s="56" t="s">
        <v>626</v>
      </c>
      <c r="E59" s="110" t="s">
        <v>382</v>
      </c>
      <c r="F59" s="56" t="s">
        <v>48</v>
      </c>
      <c r="G59" s="56" t="s">
        <v>90</v>
      </c>
      <c r="H59" s="110" t="s">
        <v>84</v>
      </c>
      <c r="I59" s="110" t="s">
        <v>373</v>
      </c>
      <c r="J59" s="110" t="s">
        <v>81</v>
      </c>
      <c r="K59" s="111" t="s">
        <v>82</v>
      </c>
      <c r="L59" s="112"/>
      <c r="M59" s="127"/>
      <c r="N59" s="116"/>
      <c r="O59" s="128"/>
      <c r="P59" s="128"/>
      <c r="Q59" s="129"/>
    </row>
    <row r="60" spans="1:17" ht="36">
      <c r="A60" s="42"/>
      <c r="B60" s="109">
        <v>21</v>
      </c>
      <c r="C60" s="56" t="s">
        <v>226</v>
      </c>
      <c r="D60" s="56" t="s">
        <v>627</v>
      </c>
      <c r="E60" s="110" t="s">
        <v>382</v>
      </c>
      <c r="F60" s="56" t="s">
        <v>48</v>
      </c>
      <c r="G60" s="56" t="s">
        <v>90</v>
      </c>
      <c r="H60" s="110" t="s">
        <v>374</v>
      </c>
      <c r="I60" s="110" t="s">
        <v>376</v>
      </c>
      <c r="J60" s="110" t="s">
        <v>79</v>
      </c>
      <c r="K60" s="111" t="s">
        <v>78</v>
      </c>
      <c r="L60" s="112"/>
      <c r="M60" s="127"/>
      <c r="N60" s="116"/>
      <c r="O60" s="128"/>
      <c r="P60" s="128"/>
      <c r="Q60" s="129"/>
    </row>
    <row r="61" spans="1:17" ht="36">
      <c r="A61" s="42"/>
      <c r="B61" s="109">
        <v>22</v>
      </c>
      <c r="C61" s="56" t="s">
        <v>226</v>
      </c>
      <c r="D61" s="56" t="s">
        <v>628</v>
      </c>
      <c r="E61" s="110" t="s">
        <v>382</v>
      </c>
      <c r="F61" s="56" t="s">
        <v>48</v>
      </c>
      <c r="G61" s="56" t="s">
        <v>90</v>
      </c>
      <c r="H61" s="110" t="s">
        <v>375</v>
      </c>
      <c r="I61" s="110" t="s">
        <v>378</v>
      </c>
      <c r="J61" s="110" t="s">
        <v>377</v>
      </c>
      <c r="K61" s="111" t="s">
        <v>80</v>
      </c>
      <c r="L61" s="112"/>
      <c r="M61" s="127"/>
      <c r="N61" s="116"/>
      <c r="O61" s="128"/>
      <c r="P61" s="128"/>
      <c r="Q61" s="129"/>
    </row>
    <row r="62" spans="1:17" ht="36">
      <c r="A62" s="42"/>
      <c r="B62" s="109">
        <v>23</v>
      </c>
      <c r="C62" s="56" t="s">
        <v>226</v>
      </c>
      <c r="D62" s="56" t="s">
        <v>629</v>
      </c>
      <c r="E62" s="110" t="s">
        <v>382</v>
      </c>
      <c r="F62" s="56" t="s">
        <v>48</v>
      </c>
      <c r="G62" s="56" t="s">
        <v>90</v>
      </c>
      <c r="H62" s="110" t="s">
        <v>87</v>
      </c>
      <c r="I62" s="110" t="s">
        <v>379</v>
      </c>
      <c r="J62" s="110"/>
      <c r="K62" s="111" t="s">
        <v>85</v>
      </c>
      <c r="L62" s="112"/>
      <c r="M62" s="127"/>
      <c r="N62" s="116"/>
      <c r="O62" s="128"/>
      <c r="P62" s="128"/>
      <c r="Q62" s="129"/>
    </row>
    <row r="63" spans="1:17" ht="36">
      <c r="A63" s="42"/>
      <c r="B63" s="109">
        <v>24</v>
      </c>
      <c r="C63" s="56" t="s">
        <v>226</v>
      </c>
      <c r="D63" s="56" t="s">
        <v>630</v>
      </c>
      <c r="E63" s="110" t="s">
        <v>382</v>
      </c>
      <c r="F63" s="56" t="s">
        <v>48</v>
      </c>
      <c r="G63" s="56" t="s">
        <v>90</v>
      </c>
      <c r="H63" s="110" t="s">
        <v>86</v>
      </c>
      <c r="I63" s="110" t="s">
        <v>380</v>
      </c>
      <c r="J63" s="110"/>
      <c r="K63" s="111" t="s">
        <v>88</v>
      </c>
      <c r="L63" s="112"/>
      <c r="M63" s="127"/>
      <c r="N63" s="116"/>
      <c r="O63" s="128"/>
      <c r="P63" s="128"/>
      <c r="Q63" s="129"/>
    </row>
    <row r="64" spans="1:17" ht="48">
      <c r="A64" s="42"/>
      <c r="B64" s="109">
        <v>25</v>
      </c>
      <c r="C64" s="56" t="s">
        <v>226</v>
      </c>
      <c r="D64" s="56" t="s">
        <v>631</v>
      </c>
      <c r="E64" s="110" t="s">
        <v>382</v>
      </c>
      <c r="F64" s="56" t="s">
        <v>48</v>
      </c>
      <c r="G64" s="56" t="s">
        <v>90</v>
      </c>
      <c r="H64" s="110" t="s">
        <v>89</v>
      </c>
      <c r="I64" s="110" t="s">
        <v>384</v>
      </c>
      <c r="J64" s="111"/>
      <c r="K64" s="111" t="s">
        <v>385</v>
      </c>
      <c r="L64" s="112"/>
      <c r="M64" s="127"/>
      <c r="N64" s="116"/>
      <c r="O64" s="128"/>
      <c r="P64" s="128"/>
      <c r="Q64" s="129"/>
    </row>
    <row r="65" spans="1:17" ht="36">
      <c r="A65" s="42"/>
      <c r="B65" s="109">
        <v>26</v>
      </c>
      <c r="C65" s="56" t="s">
        <v>226</v>
      </c>
      <c r="D65" s="56" t="s">
        <v>632</v>
      </c>
      <c r="E65" s="110" t="s">
        <v>382</v>
      </c>
      <c r="F65" s="56" t="s">
        <v>48</v>
      </c>
      <c r="G65" s="56" t="s">
        <v>90</v>
      </c>
      <c r="H65" s="110" t="s">
        <v>89</v>
      </c>
      <c r="I65" s="110" t="s">
        <v>386</v>
      </c>
      <c r="J65" s="111"/>
      <c r="K65" s="111" t="s">
        <v>387</v>
      </c>
      <c r="L65" s="112"/>
      <c r="M65" s="127"/>
      <c r="N65" s="116"/>
      <c r="O65" s="128"/>
      <c r="P65" s="128"/>
      <c r="Q65" s="129"/>
    </row>
    <row r="66" spans="1:17" ht="60">
      <c r="A66" s="42"/>
      <c r="B66" s="109">
        <v>27</v>
      </c>
      <c r="C66" s="56" t="s">
        <v>226</v>
      </c>
      <c r="D66" s="56" t="s">
        <v>633</v>
      </c>
      <c r="E66" s="110" t="s">
        <v>382</v>
      </c>
      <c r="F66" s="56" t="s">
        <v>48</v>
      </c>
      <c r="G66" s="56" t="s">
        <v>54</v>
      </c>
      <c r="H66" s="110" t="s">
        <v>93</v>
      </c>
      <c r="I66" s="110" t="s">
        <v>388</v>
      </c>
      <c r="J66" s="111"/>
      <c r="K66" s="111" t="s">
        <v>389</v>
      </c>
      <c r="L66" s="112"/>
      <c r="M66" s="127"/>
      <c r="N66" s="116"/>
      <c r="O66" s="128"/>
      <c r="P66" s="128"/>
      <c r="Q66" s="129"/>
    </row>
    <row r="67" spans="1:17" ht="36">
      <c r="A67" s="42"/>
      <c r="B67" s="109">
        <v>28</v>
      </c>
      <c r="C67" s="56" t="s">
        <v>226</v>
      </c>
      <c r="D67" s="56" t="s">
        <v>634</v>
      </c>
      <c r="E67" s="110" t="s">
        <v>382</v>
      </c>
      <c r="F67" s="56" t="s">
        <v>48</v>
      </c>
      <c r="G67" s="56" t="s">
        <v>54</v>
      </c>
      <c r="H67" s="110" t="s">
        <v>95</v>
      </c>
      <c r="I67" s="110" t="s">
        <v>388</v>
      </c>
      <c r="J67" s="110" t="s">
        <v>94</v>
      </c>
      <c r="K67" s="110" t="s">
        <v>96</v>
      </c>
      <c r="L67" s="112"/>
      <c r="M67" s="127"/>
      <c r="N67" s="116"/>
      <c r="O67" s="128"/>
      <c r="P67" s="128"/>
      <c r="Q67" s="129"/>
    </row>
    <row r="68" spans="1:17" ht="48">
      <c r="A68" s="42"/>
      <c r="B68" s="109">
        <v>29</v>
      </c>
      <c r="C68" s="56" t="s">
        <v>226</v>
      </c>
      <c r="D68" s="56" t="s">
        <v>635</v>
      </c>
      <c r="E68" s="110" t="s">
        <v>382</v>
      </c>
      <c r="F68" s="56" t="s">
        <v>48</v>
      </c>
      <c r="G68" s="56" t="s">
        <v>90</v>
      </c>
      <c r="H68" s="110" t="s">
        <v>390</v>
      </c>
      <c r="I68" s="110" t="s">
        <v>392</v>
      </c>
      <c r="J68" s="110"/>
      <c r="K68" s="110" t="s">
        <v>97</v>
      </c>
      <c r="L68" s="112"/>
      <c r="M68" s="127"/>
      <c r="N68" s="116"/>
      <c r="O68" s="128"/>
      <c r="P68" s="128"/>
      <c r="Q68" s="129"/>
    </row>
    <row r="69" spans="1:17" ht="48">
      <c r="A69" s="42"/>
      <c r="B69" s="109">
        <v>30</v>
      </c>
      <c r="C69" s="56" t="s">
        <v>226</v>
      </c>
      <c r="D69" s="56" t="s">
        <v>636</v>
      </c>
      <c r="E69" s="110" t="s">
        <v>382</v>
      </c>
      <c r="F69" s="56" t="s">
        <v>48</v>
      </c>
      <c r="G69" s="56" t="s">
        <v>90</v>
      </c>
      <c r="H69" s="110" t="s">
        <v>391</v>
      </c>
      <c r="I69" s="110" t="s">
        <v>393</v>
      </c>
      <c r="J69" s="110"/>
      <c r="K69" s="110" t="s">
        <v>98</v>
      </c>
      <c r="L69" s="112"/>
      <c r="M69" s="127"/>
      <c r="N69" s="116"/>
      <c r="O69" s="128"/>
      <c r="P69" s="128"/>
      <c r="Q69" s="129"/>
    </row>
    <row r="70" spans="1:17" ht="72">
      <c r="A70" s="42"/>
      <c r="B70" s="109">
        <v>31</v>
      </c>
      <c r="C70" s="56" t="s">
        <v>244</v>
      </c>
      <c r="D70" s="56" t="s">
        <v>637</v>
      </c>
      <c r="E70" s="110" t="s">
        <v>382</v>
      </c>
      <c r="F70" s="56" t="s">
        <v>59</v>
      </c>
      <c r="G70" s="56" t="s">
        <v>54</v>
      </c>
      <c r="H70" s="110" t="s">
        <v>363</v>
      </c>
      <c r="I70" s="110" t="s">
        <v>364</v>
      </c>
      <c r="J70" s="110"/>
      <c r="K70" s="111" t="s">
        <v>132</v>
      </c>
      <c r="L70" s="112"/>
      <c r="M70" s="127"/>
      <c r="N70" s="116"/>
      <c r="O70" s="128"/>
      <c r="P70" s="128"/>
      <c r="Q70" s="129"/>
    </row>
    <row r="71" spans="1:17" ht="24">
      <c r="A71" s="42"/>
      <c r="B71" s="109">
        <v>32</v>
      </c>
      <c r="C71" s="56" t="s">
        <v>244</v>
      </c>
      <c r="D71" s="56" t="s">
        <v>638</v>
      </c>
      <c r="E71" s="110" t="s">
        <v>382</v>
      </c>
      <c r="F71" s="56" t="s">
        <v>59</v>
      </c>
      <c r="G71" s="56" t="s">
        <v>54</v>
      </c>
      <c r="H71" s="110" t="s">
        <v>83</v>
      </c>
      <c r="I71" s="110" t="s">
        <v>366</v>
      </c>
      <c r="J71" s="110" t="s">
        <v>365</v>
      </c>
      <c r="K71" s="111" t="s">
        <v>370</v>
      </c>
      <c r="L71" s="112"/>
      <c r="M71" s="127"/>
      <c r="N71" s="116"/>
      <c r="O71" s="128"/>
      <c r="P71" s="128"/>
      <c r="Q71" s="129"/>
    </row>
    <row r="72" spans="1:17" ht="24">
      <c r="A72" s="42"/>
      <c r="B72" s="109">
        <v>33</v>
      </c>
      <c r="C72" s="56" t="s">
        <v>244</v>
      </c>
      <c r="D72" s="56" t="s">
        <v>639</v>
      </c>
      <c r="E72" s="110" t="s">
        <v>382</v>
      </c>
      <c r="F72" s="56" t="s">
        <v>59</v>
      </c>
      <c r="G72" s="56" t="s">
        <v>54</v>
      </c>
      <c r="H72" s="110" t="s">
        <v>83</v>
      </c>
      <c r="I72" s="110" t="s">
        <v>367</v>
      </c>
      <c r="J72" s="110" t="s">
        <v>365</v>
      </c>
      <c r="K72" s="110" t="s">
        <v>371</v>
      </c>
      <c r="L72" s="112"/>
      <c r="M72" s="127"/>
      <c r="N72" s="116"/>
      <c r="O72" s="128"/>
      <c r="P72" s="128"/>
      <c r="Q72" s="129"/>
    </row>
    <row r="73" spans="1:17" ht="24">
      <c r="A73" s="42"/>
      <c r="B73" s="109">
        <v>34</v>
      </c>
      <c r="C73" s="56" t="s">
        <v>244</v>
      </c>
      <c r="D73" s="56" t="s">
        <v>640</v>
      </c>
      <c r="E73" s="110" t="s">
        <v>382</v>
      </c>
      <c r="F73" s="56" t="s">
        <v>59</v>
      </c>
      <c r="G73" s="56" t="s">
        <v>54</v>
      </c>
      <c r="H73" s="110" t="s">
        <v>83</v>
      </c>
      <c r="I73" s="110" t="s">
        <v>368</v>
      </c>
      <c r="J73" s="110" t="s">
        <v>369</v>
      </c>
      <c r="K73" s="110" t="s">
        <v>372</v>
      </c>
      <c r="L73" s="112"/>
      <c r="M73" s="127"/>
      <c r="N73" s="116"/>
      <c r="O73" s="128"/>
      <c r="P73" s="128"/>
      <c r="Q73" s="129"/>
    </row>
    <row r="74" spans="1:17" ht="48">
      <c r="A74" s="42"/>
      <c r="B74" s="109">
        <v>35</v>
      </c>
      <c r="C74" s="56" t="s">
        <v>244</v>
      </c>
      <c r="D74" s="56" t="s">
        <v>641</v>
      </c>
      <c r="E74" s="110" t="s">
        <v>382</v>
      </c>
      <c r="F74" s="56" t="s">
        <v>59</v>
      </c>
      <c r="G74" s="56" t="s">
        <v>90</v>
      </c>
      <c r="H74" s="110" t="s">
        <v>84</v>
      </c>
      <c r="I74" s="110" t="s">
        <v>373</v>
      </c>
      <c r="J74" s="110" t="s">
        <v>81</v>
      </c>
      <c r="K74" s="111" t="s">
        <v>82</v>
      </c>
      <c r="L74" s="112"/>
      <c r="M74" s="127"/>
      <c r="N74" s="116"/>
      <c r="O74" s="128"/>
      <c r="P74" s="128"/>
      <c r="Q74" s="129"/>
    </row>
    <row r="75" spans="1:17" ht="36">
      <c r="A75" s="42"/>
      <c r="B75" s="109">
        <v>36</v>
      </c>
      <c r="C75" s="56" t="s">
        <v>244</v>
      </c>
      <c r="D75" s="56" t="s">
        <v>642</v>
      </c>
      <c r="E75" s="110" t="s">
        <v>382</v>
      </c>
      <c r="F75" s="56" t="s">
        <v>59</v>
      </c>
      <c r="G75" s="56" t="s">
        <v>90</v>
      </c>
      <c r="H75" s="110" t="s">
        <v>374</v>
      </c>
      <c r="I75" s="110" t="s">
        <v>376</v>
      </c>
      <c r="J75" s="110" t="s">
        <v>79</v>
      </c>
      <c r="K75" s="111" t="s">
        <v>78</v>
      </c>
      <c r="L75" s="112"/>
      <c r="M75" s="127"/>
      <c r="N75" s="116"/>
      <c r="O75" s="128"/>
      <c r="P75" s="128"/>
      <c r="Q75" s="129"/>
    </row>
    <row r="76" spans="1:17" ht="36">
      <c r="A76" s="42"/>
      <c r="B76" s="109">
        <v>37</v>
      </c>
      <c r="C76" s="56" t="s">
        <v>244</v>
      </c>
      <c r="D76" s="56" t="s">
        <v>643</v>
      </c>
      <c r="E76" s="110" t="s">
        <v>382</v>
      </c>
      <c r="F76" s="56" t="s">
        <v>59</v>
      </c>
      <c r="G76" s="56" t="s">
        <v>90</v>
      </c>
      <c r="H76" s="110" t="s">
        <v>375</v>
      </c>
      <c r="I76" s="110" t="s">
        <v>378</v>
      </c>
      <c r="J76" s="110" t="s">
        <v>377</v>
      </c>
      <c r="K76" s="111" t="s">
        <v>80</v>
      </c>
      <c r="L76" s="112"/>
      <c r="M76" s="127"/>
      <c r="N76" s="116"/>
      <c r="O76" s="128"/>
      <c r="P76" s="128"/>
      <c r="Q76" s="129"/>
    </row>
    <row r="77" spans="1:17" ht="36">
      <c r="A77" s="42"/>
      <c r="B77" s="109">
        <v>38</v>
      </c>
      <c r="C77" s="56" t="s">
        <v>244</v>
      </c>
      <c r="D77" s="56" t="s">
        <v>644</v>
      </c>
      <c r="E77" s="110" t="s">
        <v>382</v>
      </c>
      <c r="F77" s="56" t="s">
        <v>59</v>
      </c>
      <c r="G77" s="56" t="s">
        <v>90</v>
      </c>
      <c r="H77" s="110" t="s">
        <v>87</v>
      </c>
      <c r="I77" s="110" t="s">
        <v>379</v>
      </c>
      <c r="J77" s="110"/>
      <c r="K77" s="111" t="s">
        <v>85</v>
      </c>
      <c r="L77" s="112"/>
      <c r="M77" s="127"/>
      <c r="N77" s="116"/>
      <c r="O77" s="128"/>
      <c r="P77" s="128"/>
      <c r="Q77" s="129"/>
    </row>
    <row r="78" spans="1:17" ht="36">
      <c r="A78" s="42"/>
      <c r="B78" s="109">
        <v>39</v>
      </c>
      <c r="C78" s="56" t="s">
        <v>244</v>
      </c>
      <c r="D78" s="56" t="s">
        <v>645</v>
      </c>
      <c r="E78" s="110" t="s">
        <v>382</v>
      </c>
      <c r="F78" s="56" t="s">
        <v>59</v>
      </c>
      <c r="G78" s="56" t="s">
        <v>90</v>
      </c>
      <c r="H78" s="110" t="s">
        <v>86</v>
      </c>
      <c r="I78" s="110" t="s">
        <v>380</v>
      </c>
      <c r="J78" s="110"/>
      <c r="K78" s="111" t="s">
        <v>88</v>
      </c>
      <c r="L78" s="112"/>
      <c r="M78" s="127"/>
      <c r="N78" s="116"/>
      <c r="O78" s="128"/>
      <c r="P78" s="128"/>
      <c r="Q78" s="129"/>
    </row>
    <row r="79" spans="1:17" ht="48">
      <c r="A79" s="42"/>
      <c r="B79" s="109">
        <v>40</v>
      </c>
      <c r="C79" s="56" t="s">
        <v>244</v>
      </c>
      <c r="D79" s="56" t="s">
        <v>646</v>
      </c>
      <c r="E79" s="110" t="s">
        <v>382</v>
      </c>
      <c r="F79" s="56" t="s">
        <v>59</v>
      </c>
      <c r="G79" s="56" t="s">
        <v>90</v>
      </c>
      <c r="H79" s="110" t="s">
        <v>89</v>
      </c>
      <c r="I79" s="110" t="s">
        <v>384</v>
      </c>
      <c r="J79" s="111"/>
      <c r="K79" s="111" t="s">
        <v>385</v>
      </c>
      <c r="L79" s="112"/>
      <c r="M79" s="127"/>
      <c r="N79" s="116"/>
      <c r="O79" s="128"/>
      <c r="P79" s="128"/>
      <c r="Q79" s="129"/>
    </row>
    <row r="80" spans="1:17" ht="36">
      <c r="A80" s="42"/>
      <c r="B80" s="109">
        <v>41</v>
      </c>
      <c r="C80" s="56" t="s">
        <v>244</v>
      </c>
      <c r="D80" s="56" t="s">
        <v>647</v>
      </c>
      <c r="E80" s="110" t="s">
        <v>382</v>
      </c>
      <c r="F80" s="56" t="s">
        <v>59</v>
      </c>
      <c r="G80" s="56" t="s">
        <v>90</v>
      </c>
      <c r="H80" s="110" t="s">
        <v>89</v>
      </c>
      <c r="I80" s="110" t="s">
        <v>386</v>
      </c>
      <c r="J80" s="111"/>
      <c r="K80" s="111" t="s">
        <v>387</v>
      </c>
      <c r="L80" s="112"/>
      <c r="M80" s="127"/>
      <c r="N80" s="116"/>
      <c r="O80" s="128"/>
      <c r="P80" s="128"/>
      <c r="Q80" s="129"/>
    </row>
    <row r="81" spans="1:17" ht="60">
      <c r="A81" s="42"/>
      <c r="B81" s="109">
        <v>42</v>
      </c>
      <c r="C81" s="56" t="s">
        <v>244</v>
      </c>
      <c r="D81" s="56" t="s">
        <v>648</v>
      </c>
      <c r="E81" s="110" t="s">
        <v>382</v>
      </c>
      <c r="F81" s="56" t="s">
        <v>59</v>
      </c>
      <c r="G81" s="56" t="s">
        <v>54</v>
      </c>
      <c r="H81" s="110" t="s">
        <v>93</v>
      </c>
      <c r="I81" s="110" t="s">
        <v>388</v>
      </c>
      <c r="J81" s="111"/>
      <c r="K81" s="111" t="s">
        <v>389</v>
      </c>
      <c r="L81" s="112"/>
      <c r="M81" s="127"/>
      <c r="N81" s="116"/>
      <c r="O81" s="128"/>
      <c r="P81" s="128"/>
      <c r="Q81" s="129"/>
    </row>
    <row r="82" spans="1:17" ht="36">
      <c r="A82" s="42"/>
      <c r="B82" s="109">
        <v>43</v>
      </c>
      <c r="C82" s="56" t="s">
        <v>244</v>
      </c>
      <c r="D82" s="56" t="s">
        <v>649</v>
      </c>
      <c r="E82" s="110" t="s">
        <v>382</v>
      </c>
      <c r="F82" s="56" t="s">
        <v>59</v>
      </c>
      <c r="G82" s="56" t="s">
        <v>54</v>
      </c>
      <c r="H82" s="110" t="s">
        <v>95</v>
      </c>
      <c r="I82" s="110" t="s">
        <v>388</v>
      </c>
      <c r="J82" s="110" t="s">
        <v>94</v>
      </c>
      <c r="K82" s="110" t="s">
        <v>96</v>
      </c>
      <c r="L82" s="112"/>
      <c r="M82" s="127"/>
      <c r="N82" s="116"/>
      <c r="O82" s="128"/>
      <c r="P82" s="128"/>
      <c r="Q82" s="129"/>
    </row>
    <row r="83" spans="1:17" ht="48">
      <c r="A83" s="42"/>
      <c r="B83" s="109">
        <v>44</v>
      </c>
      <c r="C83" s="56" t="s">
        <v>244</v>
      </c>
      <c r="D83" s="56" t="s">
        <v>650</v>
      </c>
      <c r="E83" s="110" t="s">
        <v>382</v>
      </c>
      <c r="F83" s="56" t="s">
        <v>59</v>
      </c>
      <c r="G83" s="56" t="s">
        <v>90</v>
      </c>
      <c r="H83" s="110" t="s">
        <v>390</v>
      </c>
      <c r="I83" s="110" t="s">
        <v>392</v>
      </c>
      <c r="J83" s="110"/>
      <c r="K83" s="110" t="s">
        <v>97</v>
      </c>
      <c r="L83" s="112"/>
      <c r="M83" s="127"/>
      <c r="N83" s="116"/>
      <c r="O83" s="128"/>
      <c r="P83" s="128"/>
      <c r="Q83" s="129"/>
    </row>
    <row r="84" spans="1:17" ht="48">
      <c r="A84" s="42"/>
      <c r="B84" s="109">
        <v>45</v>
      </c>
      <c r="C84" s="56" t="s">
        <v>244</v>
      </c>
      <c r="D84" s="56" t="s">
        <v>651</v>
      </c>
      <c r="E84" s="110" t="s">
        <v>382</v>
      </c>
      <c r="F84" s="56" t="s">
        <v>59</v>
      </c>
      <c r="G84" s="56" t="s">
        <v>90</v>
      </c>
      <c r="H84" s="110" t="s">
        <v>391</v>
      </c>
      <c r="I84" s="110" t="s">
        <v>393</v>
      </c>
      <c r="J84" s="110"/>
      <c r="K84" s="110" t="s">
        <v>98</v>
      </c>
      <c r="L84" s="112"/>
      <c r="M84" s="127"/>
      <c r="N84" s="116"/>
      <c r="O84" s="128"/>
      <c r="P84" s="128"/>
      <c r="Q84" s="129"/>
    </row>
    <row r="85" spans="1:17" ht="72">
      <c r="A85" s="42"/>
      <c r="B85" s="109">
        <v>46</v>
      </c>
      <c r="C85" s="56" t="s">
        <v>244</v>
      </c>
      <c r="D85" s="56" t="s">
        <v>652</v>
      </c>
      <c r="E85" s="110" t="s">
        <v>382</v>
      </c>
      <c r="F85" s="56" t="s">
        <v>48</v>
      </c>
      <c r="G85" s="56" t="s">
        <v>54</v>
      </c>
      <c r="H85" s="110" t="s">
        <v>363</v>
      </c>
      <c r="I85" s="110" t="s">
        <v>364</v>
      </c>
      <c r="J85" s="110"/>
      <c r="K85" s="111" t="s">
        <v>132</v>
      </c>
      <c r="L85" s="112"/>
      <c r="M85" s="127"/>
      <c r="N85" s="116"/>
      <c r="O85" s="128"/>
      <c r="P85" s="128"/>
      <c r="Q85" s="129"/>
    </row>
    <row r="86" spans="1:17" ht="24">
      <c r="A86" s="42"/>
      <c r="B86" s="109">
        <v>47</v>
      </c>
      <c r="C86" s="56" t="s">
        <v>244</v>
      </c>
      <c r="D86" s="56" t="s">
        <v>653</v>
      </c>
      <c r="E86" s="110" t="s">
        <v>382</v>
      </c>
      <c r="F86" s="56" t="s">
        <v>48</v>
      </c>
      <c r="G86" s="56" t="s">
        <v>54</v>
      </c>
      <c r="H86" s="110" t="s">
        <v>83</v>
      </c>
      <c r="I86" s="110" t="s">
        <v>366</v>
      </c>
      <c r="J86" s="110" t="s">
        <v>365</v>
      </c>
      <c r="K86" s="111" t="s">
        <v>370</v>
      </c>
      <c r="L86" s="112"/>
      <c r="M86" s="127"/>
      <c r="N86" s="116"/>
      <c r="O86" s="128"/>
      <c r="P86" s="128"/>
      <c r="Q86" s="129"/>
    </row>
    <row r="87" spans="1:17" ht="24">
      <c r="A87" s="42"/>
      <c r="B87" s="109">
        <v>48</v>
      </c>
      <c r="C87" s="56" t="s">
        <v>244</v>
      </c>
      <c r="D87" s="56" t="s">
        <v>654</v>
      </c>
      <c r="E87" s="110" t="s">
        <v>382</v>
      </c>
      <c r="F87" s="56" t="s">
        <v>48</v>
      </c>
      <c r="G87" s="56" t="s">
        <v>54</v>
      </c>
      <c r="H87" s="110" t="s">
        <v>83</v>
      </c>
      <c r="I87" s="110" t="s">
        <v>367</v>
      </c>
      <c r="J87" s="110" t="s">
        <v>365</v>
      </c>
      <c r="K87" s="110" t="s">
        <v>371</v>
      </c>
      <c r="L87" s="112"/>
      <c r="M87" s="127"/>
      <c r="N87" s="116"/>
      <c r="O87" s="128"/>
      <c r="P87" s="128"/>
      <c r="Q87" s="129"/>
    </row>
    <row r="88" spans="1:17" ht="24">
      <c r="A88" s="42"/>
      <c r="B88" s="109">
        <v>49</v>
      </c>
      <c r="C88" s="56" t="s">
        <v>244</v>
      </c>
      <c r="D88" s="56" t="s">
        <v>655</v>
      </c>
      <c r="E88" s="110" t="s">
        <v>382</v>
      </c>
      <c r="F88" s="56" t="s">
        <v>48</v>
      </c>
      <c r="G88" s="56" t="s">
        <v>54</v>
      </c>
      <c r="H88" s="110" t="s">
        <v>83</v>
      </c>
      <c r="I88" s="110" t="s">
        <v>368</v>
      </c>
      <c r="J88" s="110" t="s">
        <v>369</v>
      </c>
      <c r="K88" s="110" t="s">
        <v>372</v>
      </c>
      <c r="L88" s="112"/>
      <c r="M88" s="127"/>
      <c r="N88" s="116"/>
      <c r="O88" s="128"/>
      <c r="P88" s="128"/>
      <c r="Q88" s="129"/>
    </row>
    <row r="89" spans="1:17" ht="48">
      <c r="A89" s="42"/>
      <c r="B89" s="109">
        <v>50</v>
      </c>
      <c r="C89" s="56" t="s">
        <v>244</v>
      </c>
      <c r="D89" s="56" t="s">
        <v>656</v>
      </c>
      <c r="E89" s="110" t="s">
        <v>382</v>
      </c>
      <c r="F89" s="56" t="s">
        <v>48</v>
      </c>
      <c r="G89" s="56" t="s">
        <v>90</v>
      </c>
      <c r="H89" s="110" t="s">
        <v>84</v>
      </c>
      <c r="I89" s="110" t="s">
        <v>373</v>
      </c>
      <c r="J89" s="110" t="s">
        <v>81</v>
      </c>
      <c r="K89" s="111" t="s">
        <v>82</v>
      </c>
      <c r="L89" s="112"/>
      <c r="M89" s="127"/>
      <c r="N89" s="116"/>
      <c r="O89" s="128"/>
      <c r="P89" s="128"/>
      <c r="Q89" s="129"/>
    </row>
    <row r="90" spans="1:17" ht="36">
      <c r="A90" s="42"/>
      <c r="B90" s="109">
        <v>51</v>
      </c>
      <c r="C90" s="56" t="s">
        <v>244</v>
      </c>
      <c r="D90" s="56" t="s">
        <v>657</v>
      </c>
      <c r="E90" s="110" t="s">
        <v>382</v>
      </c>
      <c r="F90" s="56" t="s">
        <v>48</v>
      </c>
      <c r="G90" s="56" t="s">
        <v>90</v>
      </c>
      <c r="H90" s="110" t="s">
        <v>374</v>
      </c>
      <c r="I90" s="110" t="s">
        <v>376</v>
      </c>
      <c r="J90" s="110" t="s">
        <v>79</v>
      </c>
      <c r="K90" s="111" t="s">
        <v>78</v>
      </c>
      <c r="L90" s="112"/>
      <c r="M90" s="127"/>
      <c r="N90" s="116"/>
      <c r="O90" s="128"/>
      <c r="P90" s="128"/>
      <c r="Q90" s="129"/>
    </row>
    <row r="91" spans="1:17" ht="36">
      <c r="A91" s="42"/>
      <c r="B91" s="109">
        <v>52</v>
      </c>
      <c r="C91" s="56" t="s">
        <v>244</v>
      </c>
      <c r="D91" s="56" t="s">
        <v>658</v>
      </c>
      <c r="E91" s="110" t="s">
        <v>382</v>
      </c>
      <c r="F91" s="56" t="s">
        <v>48</v>
      </c>
      <c r="G91" s="56" t="s">
        <v>90</v>
      </c>
      <c r="H91" s="110" t="s">
        <v>375</v>
      </c>
      <c r="I91" s="110" t="s">
        <v>378</v>
      </c>
      <c r="J91" s="110" t="s">
        <v>377</v>
      </c>
      <c r="K91" s="111" t="s">
        <v>80</v>
      </c>
      <c r="L91" s="112"/>
      <c r="M91" s="127"/>
      <c r="N91" s="116"/>
      <c r="O91" s="128"/>
      <c r="P91" s="128"/>
      <c r="Q91" s="129"/>
    </row>
    <row r="92" spans="1:17" ht="36">
      <c r="A92" s="42"/>
      <c r="B92" s="109">
        <v>53</v>
      </c>
      <c r="C92" s="56" t="s">
        <v>244</v>
      </c>
      <c r="D92" s="56" t="s">
        <v>659</v>
      </c>
      <c r="E92" s="110" t="s">
        <v>382</v>
      </c>
      <c r="F92" s="56" t="s">
        <v>48</v>
      </c>
      <c r="G92" s="56" t="s">
        <v>90</v>
      </c>
      <c r="H92" s="110" t="s">
        <v>87</v>
      </c>
      <c r="I92" s="110" t="s">
        <v>379</v>
      </c>
      <c r="J92" s="110"/>
      <c r="K92" s="111" t="s">
        <v>85</v>
      </c>
      <c r="L92" s="112"/>
      <c r="M92" s="127"/>
      <c r="N92" s="116"/>
      <c r="O92" s="128"/>
      <c r="P92" s="128"/>
      <c r="Q92" s="129"/>
    </row>
    <row r="93" spans="1:17" ht="36">
      <c r="A93" s="42"/>
      <c r="B93" s="109">
        <v>54</v>
      </c>
      <c r="C93" s="56" t="s">
        <v>244</v>
      </c>
      <c r="D93" s="56" t="s">
        <v>660</v>
      </c>
      <c r="E93" s="110" t="s">
        <v>382</v>
      </c>
      <c r="F93" s="56" t="s">
        <v>48</v>
      </c>
      <c r="G93" s="56" t="s">
        <v>90</v>
      </c>
      <c r="H93" s="110" t="s">
        <v>86</v>
      </c>
      <c r="I93" s="110" t="s">
        <v>380</v>
      </c>
      <c r="J93" s="110"/>
      <c r="K93" s="111" t="s">
        <v>88</v>
      </c>
      <c r="L93" s="112"/>
      <c r="M93" s="127"/>
      <c r="N93" s="116"/>
      <c r="O93" s="128"/>
      <c r="P93" s="128"/>
      <c r="Q93" s="129"/>
    </row>
    <row r="94" spans="1:17" ht="48">
      <c r="A94" s="42"/>
      <c r="B94" s="109">
        <v>55</v>
      </c>
      <c r="C94" s="56" t="s">
        <v>244</v>
      </c>
      <c r="D94" s="56" t="s">
        <v>661</v>
      </c>
      <c r="E94" s="110" t="s">
        <v>382</v>
      </c>
      <c r="F94" s="56" t="s">
        <v>48</v>
      </c>
      <c r="G94" s="56" t="s">
        <v>90</v>
      </c>
      <c r="H94" s="110" t="s">
        <v>89</v>
      </c>
      <c r="I94" s="110" t="s">
        <v>384</v>
      </c>
      <c r="J94" s="111"/>
      <c r="K94" s="111" t="s">
        <v>385</v>
      </c>
      <c r="L94" s="112"/>
      <c r="M94" s="127"/>
      <c r="N94" s="116"/>
      <c r="O94" s="128"/>
      <c r="P94" s="128"/>
      <c r="Q94" s="129"/>
    </row>
    <row r="95" spans="1:17" ht="36">
      <c r="A95" s="42"/>
      <c r="B95" s="109">
        <v>56</v>
      </c>
      <c r="C95" s="56" t="s">
        <v>244</v>
      </c>
      <c r="D95" s="56" t="s">
        <v>662</v>
      </c>
      <c r="E95" s="110" t="s">
        <v>382</v>
      </c>
      <c r="F95" s="56" t="s">
        <v>48</v>
      </c>
      <c r="G95" s="56" t="s">
        <v>90</v>
      </c>
      <c r="H95" s="110" t="s">
        <v>89</v>
      </c>
      <c r="I95" s="110" t="s">
        <v>386</v>
      </c>
      <c r="J95" s="111"/>
      <c r="K95" s="111" t="s">
        <v>387</v>
      </c>
      <c r="L95" s="112"/>
      <c r="M95" s="127"/>
      <c r="N95" s="116"/>
      <c r="O95" s="128"/>
      <c r="P95" s="128"/>
      <c r="Q95" s="129"/>
    </row>
    <row r="96" spans="1:17" ht="60">
      <c r="A96" s="42"/>
      <c r="B96" s="109">
        <v>57</v>
      </c>
      <c r="C96" s="56" t="s">
        <v>244</v>
      </c>
      <c r="D96" s="56" t="s">
        <v>663</v>
      </c>
      <c r="E96" s="110" t="s">
        <v>382</v>
      </c>
      <c r="F96" s="56" t="s">
        <v>48</v>
      </c>
      <c r="G96" s="56" t="s">
        <v>54</v>
      </c>
      <c r="H96" s="110" t="s">
        <v>93</v>
      </c>
      <c r="I96" s="110" t="s">
        <v>388</v>
      </c>
      <c r="J96" s="111"/>
      <c r="K96" s="111" t="s">
        <v>389</v>
      </c>
      <c r="L96" s="112"/>
      <c r="M96" s="127"/>
      <c r="N96" s="116"/>
      <c r="O96" s="128"/>
      <c r="P96" s="128"/>
      <c r="Q96" s="129"/>
    </row>
    <row r="97" spans="1:17" ht="36">
      <c r="A97" s="42"/>
      <c r="B97" s="109">
        <v>58</v>
      </c>
      <c r="C97" s="56" t="s">
        <v>244</v>
      </c>
      <c r="D97" s="56" t="s">
        <v>664</v>
      </c>
      <c r="E97" s="110" t="s">
        <v>382</v>
      </c>
      <c r="F97" s="56" t="s">
        <v>48</v>
      </c>
      <c r="G97" s="56" t="s">
        <v>54</v>
      </c>
      <c r="H97" s="110" t="s">
        <v>95</v>
      </c>
      <c r="I97" s="110" t="s">
        <v>388</v>
      </c>
      <c r="J97" s="110" t="s">
        <v>94</v>
      </c>
      <c r="K97" s="110" t="s">
        <v>96</v>
      </c>
      <c r="L97" s="112"/>
      <c r="M97" s="127"/>
      <c r="N97" s="116"/>
      <c r="O97" s="128"/>
      <c r="P97" s="128"/>
      <c r="Q97" s="129"/>
    </row>
    <row r="98" spans="1:17" ht="48">
      <c r="A98" s="42"/>
      <c r="B98" s="109">
        <v>59</v>
      </c>
      <c r="C98" s="56" t="s">
        <v>244</v>
      </c>
      <c r="D98" s="56" t="s">
        <v>665</v>
      </c>
      <c r="E98" s="110" t="s">
        <v>382</v>
      </c>
      <c r="F98" s="56" t="s">
        <v>48</v>
      </c>
      <c r="G98" s="56" t="s">
        <v>90</v>
      </c>
      <c r="H98" s="110" t="s">
        <v>390</v>
      </c>
      <c r="I98" s="110" t="s">
        <v>392</v>
      </c>
      <c r="J98" s="110"/>
      <c r="K98" s="110" t="s">
        <v>97</v>
      </c>
      <c r="L98" s="112"/>
      <c r="M98" s="127"/>
      <c r="N98" s="116"/>
      <c r="O98" s="128"/>
      <c r="P98" s="128"/>
      <c r="Q98" s="129"/>
    </row>
    <row r="99" spans="1:17" ht="48">
      <c r="A99" s="42"/>
      <c r="B99" s="109">
        <v>60</v>
      </c>
      <c r="C99" s="56" t="s">
        <v>244</v>
      </c>
      <c r="D99" s="56" t="s">
        <v>666</v>
      </c>
      <c r="E99" s="110" t="s">
        <v>382</v>
      </c>
      <c r="F99" s="56" t="s">
        <v>48</v>
      </c>
      <c r="G99" s="56" t="s">
        <v>90</v>
      </c>
      <c r="H99" s="110" t="s">
        <v>391</v>
      </c>
      <c r="I99" s="110" t="s">
        <v>393</v>
      </c>
      <c r="J99" s="110"/>
      <c r="K99" s="110" t="s">
        <v>98</v>
      </c>
      <c r="L99" s="112"/>
      <c r="M99" s="127"/>
      <c r="N99" s="116"/>
      <c r="O99" s="128"/>
      <c r="P99" s="128"/>
      <c r="Q99" s="129"/>
    </row>
    <row r="100" spans="1:17" ht="48">
      <c r="A100" s="42"/>
      <c r="B100" s="109">
        <v>61</v>
      </c>
      <c r="C100" s="56" t="s">
        <v>226</v>
      </c>
      <c r="D100" s="56" t="s">
        <v>667</v>
      </c>
      <c r="E100" s="110" t="s">
        <v>382</v>
      </c>
      <c r="F100" s="116" t="s">
        <v>49</v>
      </c>
      <c r="G100" s="56" t="s">
        <v>90</v>
      </c>
      <c r="H100" s="115" t="s">
        <v>101</v>
      </c>
      <c r="I100" s="117" t="s">
        <v>394</v>
      </c>
      <c r="J100" s="115" t="s">
        <v>200</v>
      </c>
      <c r="K100" s="115" t="s">
        <v>145</v>
      </c>
      <c r="L100" s="114"/>
      <c r="M100" s="131"/>
      <c r="N100" s="116"/>
      <c r="O100" s="128"/>
      <c r="P100" s="128"/>
      <c r="Q100" s="129"/>
    </row>
    <row r="101" spans="1:17" ht="24">
      <c r="A101" s="42"/>
      <c r="B101" s="109">
        <v>62</v>
      </c>
      <c r="C101" s="56" t="s">
        <v>226</v>
      </c>
      <c r="D101" s="56" t="s">
        <v>668</v>
      </c>
      <c r="E101" s="110" t="s">
        <v>382</v>
      </c>
      <c r="F101" s="116" t="s">
        <v>49</v>
      </c>
      <c r="G101" s="56" t="s">
        <v>90</v>
      </c>
      <c r="H101" s="115" t="s">
        <v>99</v>
      </c>
      <c r="I101" s="117" t="s">
        <v>394</v>
      </c>
      <c r="J101" s="115"/>
      <c r="K101" s="115" t="s">
        <v>134</v>
      </c>
      <c r="L101" s="114"/>
      <c r="M101" s="131"/>
      <c r="N101" s="116"/>
      <c r="O101" s="128"/>
      <c r="P101" s="128"/>
      <c r="Q101" s="129"/>
    </row>
    <row r="102" spans="1:17" ht="24">
      <c r="A102" s="42"/>
      <c r="B102" s="118">
        <v>63</v>
      </c>
      <c r="C102" s="56" t="s">
        <v>226</v>
      </c>
      <c r="D102" s="119" t="s">
        <v>669</v>
      </c>
      <c r="E102" s="137" t="s">
        <v>382</v>
      </c>
      <c r="F102" s="121" t="s">
        <v>49</v>
      </c>
      <c r="G102" s="119" t="s">
        <v>90</v>
      </c>
      <c r="H102" s="120" t="s">
        <v>100</v>
      </c>
      <c r="I102" s="123" t="s">
        <v>395</v>
      </c>
      <c r="J102" s="120"/>
      <c r="K102" s="120" t="s">
        <v>135</v>
      </c>
      <c r="L102" s="124"/>
      <c r="M102" s="134"/>
      <c r="N102" s="116"/>
      <c r="O102" s="135"/>
      <c r="P102" s="135"/>
      <c r="Q102" s="136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102" xr:uid="{F09CB156-D54A-49EA-94BC-635B3AC7C245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4" orientation="landscape" verticalDpi="4" r:id="rId1"/>
  <drawing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F59F-B2A9-45A2-A20E-0833588E981A}">
  <sheetPr>
    <pageSetUpPr fitToPage="1"/>
  </sheetPr>
  <dimension ref="A1:R80"/>
  <sheetViews>
    <sheetView zoomScaleNormal="100" workbookViewId="0">
      <selection activeCell="N44" sqref="N44"/>
    </sheetView>
  </sheetViews>
  <sheetFormatPr defaultColWidth="8.88671875" defaultRowHeight="13.5"/>
  <cols>
    <col min="1" max="1" width="2.6640625" style="36" customWidth="1"/>
    <col min="2" max="2" width="5.6640625" style="38" customWidth="1"/>
    <col min="3" max="4" width="10.21875" style="38" customWidth="1"/>
    <col min="5" max="5" width="13.6640625" style="38" customWidth="1"/>
    <col min="6" max="7" width="5.6640625" style="38" customWidth="1"/>
    <col min="8" max="8" width="15.6640625" style="38" customWidth="1"/>
    <col min="9" max="9" width="25.6640625" style="38" customWidth="1"/>
    <col min="10" max="10" width="15.6640625" style="36" customWidth="1"/>
    <col min="11" max="11" width="31.88671875" style="36" customWidth="1"/>
    <col min="12" max="13" width="8.6640625" style="36" customWidth="1"/>
    <col min="14" max="14" width="9.109375" style="38" customWidth="1"/>
    <col min="15" max="15" width="30.6640625" style="36" customWidth="1"/>
    <col min="16" max="16" width="10.5546875" style="36" bestFit="1" customWidth="1"/>
    <col min="17" max="16384" width="8.88671875" style="36"/>
  </cols>
  <sheetData>
    <row r="1" spans="1:16" ht="66" customHeight="1">
      <c r="B1" s="37"/>
      <c r="C1" s="37"/>
      <c r="D1" s="37"/>
      <c r="E1" s="37"/>
    </row>
    <row r="2" spans="1:16" ht="58.9" customHeight="1">
      <c r="B2" s="59" t="s">
        <v>210</v>
      </c>
      <c r="C2" s="88" t="s">
        <v>207</v>
      </c>
      <c r="D2" s="89"/>
      <c r="E2" s="89"/>
      <c r="F2" s="89"/>
      <c r="G2" s="89"/>
      <c r="H2" s="89"/>
      <c r="I2" s="89"/>
      <c r="J2" s="89"/>
      <c r="K2" s="90"/>
      <c r="L2" s="27"/>
      <c r="M2" s="45"/>
      <c r="N2" s="160"/>
      <c r="O2" s="45"/>
      <c r="P2" s="45"/>
    </row>
    <row r="3" spans="1:16" ht="7.5" customHeight="1">
      <c r="B3" s="31"/>
      <c r="C3" s="31"/>
      <c r="D3" s="31"/>
      <c r="E3" s="31"/>
      <c r="F3" s="60"/>
      <c r="G3" s="60"/>
      <c r="H3" s="60"/>
      <c r="I3" s="60"/>
      <c r="J3" s="32"/>
      <c r="K3" s="32"/>
      <c r="L3" s="25"/>
    </row>
    <row r="4" spans="1:16">
      <c r="A4" s="42"/>
      <c r="B4" s="93" t="s">
        <v>37</v>
      </c>
      <c r="C4" s="93"/>
      <c r="D4" s="93"/>
      <c r="E4" s="93"/>
      <c r="F4" s="93"/>
      <c r="G4" s="93"/>
      <c r="H4" s="93"/>
      <c r="I4" s="93"/>
      <c r="J4" s="93"/>
      <c r="K4" s="93"/>
      <c r="L4" s="29"/>
    </row>
    <row r="5" spans="1:16" s="45" customFormat="1">
      <c r="A5" s="44"/>
      <c r="B5" s="94"/>
      <c r="C5" s="94"/>
      <c r="D5" s="94"/>
      <c r="E5" s="94"/>
      <c r="F5" s="94"/>
      <c r="G5" s="94"/>
      <c r="H5" s="94"/>
      <c r="I5" s="94"/>
      <c r="J5" s="94"/>
      <c r="K5" s="94"/>
      <c r="L5" s="30"/>
      <c r="N5" s="160"/>
    </row>
    <row r="6" spans="1:16" s="45" customFormat="1">
      <c r="A6" s="44"/>
      <c r="B6" s="94"/>
      <c r="C6" s="94"/>
      <c r="D6" s="94"/>
      <c r="E6" s="94"/>
      <c r="F6" s="94"/>
      <c r="G6" s="94"/>
      <c r="H6" s="94"/>
      <c r="I6" s="94"/>
      <c r="J6" s="94"/>
      <c r="K6" s="94"/>
      <c r="L6" s="30"/>
      <c r="N6" s="160"/>
    </row>
    <row r="7" spans="1:16" s="45" customFormat="1">
      <c r="A7" s="44"/>
      <c r="B7" s="94"/>
      <c r="C7" s="94"/>
      <c r="D7" s="94"/>
      <c r="E7" s="94"/>
      <c r="F7" s="94"/>
      <c r="G7" s="94"/>
      <c r="H7" s="94"/>
      <c r="I7" s="94"/>
      <c r="J7" s="94"/>
      <c r="K7" s="94"/>
      <c r="L7" s="30"/>
      <c r="N7" s="160"/>
    </row>
    <row r="8" spans="1:16" s="45" customFormat="1">
      <c r="A8" s="44"/>
      <c r="B8" s="94"/>
      <c r="C8" s="94"/>
      <c r="D8" s="94"/>
      <c r="E8" s="94"/>
      <c r="F8" s="94"/>
      <c r="G8" s="94"/>
      <c r="H8" s="94"/>
      <c r="I8" s="94"/>
      <c r="J8" s="94"/>
      <c r="K8" s="94"/>
      <c r="L8" s="30"/>
      <c r="N8" s="160"/>
    </row>
    <row r="9" spans="1:16" s="45" customFormat="1">
      <c r="A9" s="44"/>
      <c r="B9" s="94"/>
      <c r="C9" s="94"/>
      <c r="D9" s="94"/>
      <c r="E9" s="94"/>
      <c r="F9" s="94"/>
      <c r="G9" s="94"/>
      <c r="H9" s="94"/>
      <c r="I9" s="94"/>
      <c r="J9" s="94"/>
      <c r="K9" s="94"/>
      <c r="L9" s="30"/>
      <c r="N9" s="160"/>
    </row>
    <row r="10" spans="1:16" s="45" customFormat="1">
      <c r="A10" s="4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30"/>
      <c r="N10" s="160"/>
    </row>
    <row r="11" spans="1:16" s="45" customFormat="1">
      <c r="A11" s="4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30"/>
      <c r="N11" s="160"/>
    </row>
    <row r="12" spans="1:16" s="45" customFormat="1">
      <c r="A12" s="4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30"/>
      <c r="N12" s="160"/>
    </row>
    <row r="13" spans="1:16" s="45" customFormat="1">
      <c r="A13" s="4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30"/>
      <c r="N13" s="160"/>
    </row>
    <row r="14" spans="1:16" s="45" customFormat="1">
      <c r="A14" s="4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30"/>
      <c r="N14" s="160"/>
    </row>
    <row r="15" spans="1:16" s="45" customFormat="1">
      <c r="A15" s="4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30"/>
      <c r="N15" s="160"/>
    </row>
    <row r="16" spans="1:16" s="45" customFormat="1">
      <c r="A16" s="4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30"/>
      <c r="N16" s="160"/>
    </row>
    <row r="17" spans="1:14" s="45" customFormat="1">
      <c r="A17" s="4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30"/>
      <c r="N17" s="160"/>
    </row>
    <row r="18" spans="1:14" s="45" customFormat="1">
      <c r="A18" s="4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30"/>
      <c r="N18" s="160"/>
    </row>
    <row r="19" spans="1:14" s="45" customFormat="1">
      <c r="A19" s="4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30"/>
      <c r="N19" s="160"/>
    </row>
    <row r="20" spans="1:14" s="45" customFormat="1">
      <c r="A20" s="4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30"/>
      <c r="N20" s="160"/>
    </row>
    <row r="21" spans="1:14" s="45" customFormat="1">
      <c r="A21" s="4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30"/>
      <c r="N21" s="160"/>
    </row>
    <row r="22" spans="1:14" s="45" customFormat="1">
      <c r="A22" s="4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30"/>
      <c r="N22" s="160"/>
    </row>
    <row r="23" spans="1:14" s="45" customFormat="1">
      <c r="A23" s="4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30"/>
      <c r="N23" s="160"/>
    </row>
    <row r="24" spans="1:14" s="45" customFormat="1">
      <c r="A24" s="4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30"/>
      <c r="N24" s="160"/>
    </row>
    <row r="25" spans="1:14" s="45" customFormat="1">
      <c r="A25" s="4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30"/>
      <c r="N25" s="160"/>
    </row>
    <row r="26" spans="1:14" s="45" customFormat="1">
      <c r="A26" s="4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30"/>
      <c r="N26" s="160"/>
    </row>
    <row r="27" spans="1:14" s="45" customFormat="1">
      <c r="A27" s="4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30"/>
      <c r="N27" s="160"/>
    </row>
    <row r="28" spans="1:14" s="45" customFormat="1">
      <c r="A28" s="4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30"/>
      <c r="N28" s="160"/>
    </row>
    <row r="29" spans="1:14">
      <c r="A29" s="42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29"/>
    </row>
    <row r="30" spans="1:14">
      <c r="A30" s="4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29"/>
    </row>
    <row r="31" spans="1:14">
      <c r="A31" s="42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29"/>
    </row>
    <row r="32" spans="1:14">
      <c r="A32" s="42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9"/>
    </row>
    <row r="33" spans="1:18">
      <c r="A33" s="42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9"/>
    </row>
    <row r="34" spans="1:18">
      <c r="A34" s="42"/>
      <c r="B34" s="93" t="s">
        <v>26</v>
      </c>
      <c r="C34" s="93"/>
      <c r="D34" s="93"/>
      <c r="E34" s="93"/>
      <c r="F34" s="93"/>
      <c r="G34" s="93"/>
      <c r="H34" s="93"/>
      <c r="I34" s="93"/>
      <c r="J34" s="93"/>
      <c r="K34" s="93"/>
      <c r="L34" s="29"/>
    </row>
    <row r="35" spans="1:18" ht="48.6" customHeight="1">
      <c r="A35" s="42"/>
      <c r="B35" s="91" t="s">
        <v>670</v>
      </c>
      <c r="C35" s="91"/>
      <c r="D35" s="91"/>
      <c r="E35" s="92"/>
      <c r="F35" s="92"/>
      <c r="G35" s="92"/>
      <c r="H35" s="92"/>
      <c r="I35" s="92"/>
      <c r="J35" s="92"/>
      <c r="K35" s="92"/>
      <c r="L35" s="29"/>
    </row>
    <row r="36" spans="1:18">
      <c r="A36" s="42"/>
      <c r="B36" s="93" t="s">
        <v>38</v>
      </c>
      <c r="C36" s="93"/>
      <c r="D36" s="93"/>
      <c r="E36" s="93"/>
      <c r="F36" s="93"/>
      <c r="G36" s="93"/>
      <c r="H36" s="93"/>
      <c r="I36" s="93"/>
      <c r="J36" s="93"/>
      <c r="K36" s="93"/>
      <c r="L36" s="29"/>
    </row>
    <row r="37" spans="1:18" ht="30" customHeight="1">
      <c r="A37" s="42"/>
      <c r="B37" s="92" t="s">
        <v>180</v>
      </c>
      <c r="C37" s="92"/>
      <c r="D37" s="92"/>
      <c r="E37" s="92"/>
      <c r="F37" s="92"/>
      <c r="G37" s="92"/>
      <c r="H37" s="92"/>
      <c r="I37" s="92"/>
      <c r="J37" s="92"/>
      <c r="K37" s="92"/>
      <c r="L37" s="29"/>
    </row>
    <row r="38" spans="1:18" ht="10.15" customHeight="1">
      <c r="B38" s="54"/>
      <c r="C38" s="54"/>
      <c r="D38" s="54"/>
      <c r="E38" s="54"/>
      <c r="F38" s="51"/>
      <c r="G38" s="51"/>
      <c r="H38" s="51"/>
      <c r="I38" s="51"/>
      <c r="J38" s="52"/>
      <c r="K38" s="52"/>
      <c r="L38" s="32"/>
      <c r="M38" s="41"/>
      <c r="N38" s="40"/>
      <c r="O38" s="41"/>
      <c r="P38" s="41"/>
      <c r="Q38" s="41"/>
    </row>
    <row r="39" spans="1:18" ht="15" customHeight="1">
      <c r="A39" s="42"/>
      <c r="B39" s="105" t="s">
        <v>196</v>
      </c>
      <c r="C39" s="106" t="s">
        <v>352</v>
      </c>
      <c r="D39" s="106" t="s">
        <v>19</v>
      </c>
      <c r="E39" s="106" t="s">
        <v>40</v>
      </c>
      <c r="F39" s="106" t="s">
        <v>27</v>
      </c>
      <c r="G39" s="106" t="s">
        <v>28</v>
      </c>
      <c r="H39" s="106" t="s">
        <v>29</v>
      </c>
      <c r="I39" s="106" t="s">
        <v>41</v>
      </c>
      <c r="J39" s="106" t="s">
        <v>30</v>
      </c>
      <c r="K39" s="106" t="s">
        <v>31</v>
      </c>
      <c r="L39" s="106" t="s">
        <v>32</v>
      </c>
      <c r="M39" s="107" t="s">
        <v>33</v>
      </c>
      <c r="N39" s="107" t="s">
        <v>34</v>
      </c>
      <c r="O39" s="107" t="s">
        <v>35</v>
      </c>
      <c r="P39" s="107" t="s">
        <v>39</v>
      </c>
      <c r="Q39" s="108" t="s">
        <v>36</v>
      </c>
      <c r="R39" s="43"/>
    </row>
    <row r="40" spans="1:18" ht="36">
      <c r="A40" s="42"/>
      <c r="B40" s="109">
        <v>1</v>
      </c>
      <c r="C40" s="56" t="s">
        <v>226</v>
      </c>
      <c r="D40" s="56" t="s">
        <v>473</v>
      </c>
      <c r="E40" s="110" t="s">
        <v>102</v>
      </c>
      <c r="F40" s="56" t="s">
        <v>76</v>
      </c>
      <c r="G40" s="56" t="s">
        <v>77</v>
      </c>
      <c r="H40" s="110" t="s">
        <v>457</v>
      </c>
      <c r="I40" s="110" t="s">
        <v>458</v>
      </c>
      <c r="J40" s="110"/>
      <c r="K40" s="111" t="s">
        <v>132</v>
      </c>
      <c r="L40" s="112"/>
      <c r="M40" s="127"/>
      <c r="N40" s="116"/>
      <c r="O40" s="128"/>
      <c r="P40" s="128"/>
      <c r="Q40" s="129"/>
      <c r="R40" s="43"/>
    </row>
    <row r="41" spans="1:18" ht="36">
      <c r="A41" s="42"/>
      <c r="B41" s="109">
        <v>2</v>
      </c>
      <c r="C41" s="56" t="s">
        <v>226</v>
      </c>
      <c r="D41" s="56" t="s">
        <v>489</v>
      </c>
      <c r="E41" s="110" t="s">
        <v>102</v>
      </c>
      <c r="F41" s="56" t="s">
        <v>76</v>
      </c>
      <c r="G41" s="56" t="s">
        <v>77</v>
      </c>
      <c r="H41" s="110" t="s">
        <v>103</v>
      </c>
      <c r="I41" s="110" t="s">
        <v>459</v>
      </c>
      <c r="J41" s="110" t="s">
        <v>469</v>
      </c>
      <c r="K41" s="111" t="s">
        <v>141</v>
      </c>
      <c r="L41" s="112"/>
      <c r="M41" s="127"/>
      <c r="N41" s="116"/>
      <c r="O41" s="128"/>
      <c r="P41" s="128"/>
      <c r="Q41" s="129"/>
      <c r="R41" s="43"/>
    </row>
    <row r="42" spans="1:18" ht="36">
      <c r="A42" s="42"/>
      <c r="B42" s="109">
        <v>3</v>
      </c>
      <c r="C42" s="56" t="s">
        <v>226</v>
      </c>
      <c r="D42" s="56" t="s">
        <v>490</v>
      </c>
      <c r="E42" s="110" t="s">
        <v>102</v>
      </c>
      <c r="F42" s="56" t="s">
        <v>76</v>
      </c>
      <c r="G42" s="56" t="s">
        <v>77</v>
      </c>
      <c r="H42" s="110" t="s">
        <v>103</v>
      </c>
      <c r="I42" s="110" t="s">
        <v>460</v>
      </c>
      <c r="J42" s="111" t="s">
        <v>104</v>
      </c>
      <c r="K42" s="111" t="s">
        <v>105</v>
      </c>
      <c r="L42" s="112"/>
      <c r="M42" s="127"/>
      <c r="N42" s="116"/>
      <c r="O42" s="128"/>
      <c r="P42" s="128"/>
      <c r="Q42" s="129"/>
      <c r="R42" s="43"/>
    </row>
    <row r="43" spans="1:18" ht="36">
      <c r="A43" s="42"/>
      <c r="B43" s="109">
        <v>4</v>
      </c>
      <c r="C43" s="56" t="s">
        <v>226</v>
      </c>
      <c r="D43" s="56" t="s">
        <v>491</v>
      </c>
      <c r="E43" s="110" t="s">
        <v>102</v>
      </c>
      <c r="F43" s="56" t="s">
        <v>76</v>
      </c>
      <c r="G43" s="56" t="s">
        <v>77</v>
      </c>
      <c r="H43" s="110" t="s">
        <v>103</v>
      </c>
      <c r="I43" s="110" t="s">
        <v>461</v>
      </c>
      <c r="J43" s="111" t="s">
        <v>104</v>
      </c>
      <c r="K43" s="111" t="s">
        <v>106</v>
      </c>
      <c r="L43" s="112"/>
      <c r="M43" s="127"/>
      <c r="N43" s="116"/>
      <c r="O43" s="128"/>
      <c r="P43" s="128"/>
      <c r="Q43" s="129"/>
      <c r="R43" s="43"/>
    </row>
    <row r="44" spans="1:18" ht="36">
      <c r="A44" s="42"/>
      <c r="B44" s="109">
        <v>5</v>
      </c>
      <c r="C44" s="56" t="s">
        <v>226</v>
      </c>
      <c r="D44" s="56" t="s">
        <v>492</v>
      </c>
      <c r="E44" s="110" t="s">
        <v>102</v>
      </c>
      <c r="F44" s="56" t="s">
        <v>76</v>
      </c>
      <c r="G44" s="56" t="s">
        <v>77</v>
      </c>
      <c r="H44" s="110" t="s">
        <v>115</v>
      </c>
      <c r="I44" s="110" t="s">
        <v>462</v>
      </c>
      <c r="J44" s="110" t="s">
        <v>470</v>
      </c>
      <c r="K44" s="111" t="s">
        <v>136</v>
      </c>
      <c r="L44" s="112"/>
      <c r="M44" s="127"/>
      <c r="N44" s="116"/>
      <c r="O44" s="128"/>
      <c r="P44" s="128"/>
      <c r="Q44" s="129"/>
      <c r="R44" s="43"/>
    </row>
    <row r="45" spans="1:18" ht="36">
      <c r="A45" s="42"/>
      <c r="B45" s="109">
        <v>6</v>
      </c>
      <c r="C45" s="56" t="s">
        <v>226</v>
      </c>
      <c r="D45" s="56" t="s">
        <v>493</v>
      </c>
      <c r="E45" s="110" t="s">
        <v>102</v>
      </c>
      <c r="F45" s="56" t="s">
        <v>76</v>
      </c>
      <c r="G45" s="56" t="s">
        <v>77</v>
      </c>
      <c r="H45" s="110" t="s">
        <v>108</v>
      </c>
      <c r="I45" s="110" t="s">
        <v>463</v>
      </c>
      <c r="J45" s="110" t="s">
        <v>471</v>
      </c>
      <c r="K45" s="111" t="s">
        <v>142</v>
      </c>
      <c r="L45" s="112"/>
      <c r="M45" s="127"/>
      <c r="N45" s="116"/>
      <c r="O45" s="128"/>
      <c r="P45" s="128"/>
      <c r="Q45" s="129"/>
      <c r="R45" s="43"/>
    </row>
    <row r="46" spans="1:18" ht="36">
      <c r="A46" s="42"/>
      <c r="B46" s="109">
        <v>7</v>
      </c>
      <c r="C46" s="56" t="s">
        <v>226</v>
      </c>
      <c r="D46" s="56" t="s">
        <v>494</v>
      </c>
      <c r="E46" s="110" t="s">
        <v>102</v>
      </c>
      <c r="F46" s="56" t="s">
        <v>76</v>
      </c>
      <c r="G46" s="56" t="s">
        <v>77</v>
      </c>
      <c r="H46" s="110" t="s">
        <v>108</v>
      </c>
      <c r="I46" s="110" t="s">
        <v>464</v>
      </c>
      <c r="J46" s="111" t="s">
        <v>471</v>
      </c>
      <c r="K46" s="111" t="s">
        <v>110</v>
      </c>
      <c r="L46" s="112"/>
      <c r="M46" s="127"/>
      <c r="N46" s="116"/>
      <c r="O46" s="128"/>
      <c r="P46" s="128"/>
      <c r="Q46" s="129"/>
      <c r="R46" s="43"/>
    </row>
    <row r="47" spans="1:18" ht="36">
      <c r="A47" s="42"/>
      <c r="B47" s="109">
        <v>8</v>
      </c>
      <c r="C47" s="56" t="s">
        <v>226</v>
      </c>
      <c r="D47" s="56" t="s">
        <v>495</v>
      </c>
      <c r="E47" s="110" t="s">
        <v>102</v>
      </c>
      <c r="F47" s="56" t="s">
        <v>76</v>
      </c>
      <c r="G47" s="56" t="s">
        <v>77</v>
      </c>
      <c r="H47" s="110" t="s">
        <v>108</v>
      </c>
      <c r="I47" s="110" t="s">
        <v>465</v>
      </c>
      <c r="J47" s="111" t="s">
        <v>109</v>
      </c>
      <c r="K47" s="111" t="s">
        <v>111</v>
      </c>
      <c r="L47" s="112"/>
      <c r="M47" s="127"/>
      <c r="N47" s="116"/>
      <c r="O47" s="128"/>
      <c r="P47" s="128"/>
      <c r="Q47" s="129"/>
      <c r="R47" s="43"/>
    </row>
    <row r="48" spans="1:18" ht="36">
      <c r="A48" s="42"/>
      <c r="B48" s="109">
        <v>9</v>
      </c>
      <c r="C48" s="56" t="s">
        <v>226</v>
      </c>
      <c r="D48" s="56" t="s">
        <v>496</v>
      </c>
      <c r="E48" s="110" t="s">
        <v>102</v>
      </c>
      <c r="F48" s="56" t="s">
        <v>76</v>
      </c>
      <c r="G48" s="56" t="s">
        <v>77</v>
      </c>
      <c r="H48" s="110" t="s">
        <v>114</v>
      </c>
      <c r="I48" s="110" t="s">
        <v>466</v>
      </c>
      <c r="J48" s="110" t="s">
        <v>470</v>
      </c>
      <c r="K48" s="111" t="s">
        <v>143</v>
      </c>
      <c r="L48" s="112"/>
      <c r="M48" s="127"/>
      <c r="N48" s="116"/>
      <c r="O48" s="128"/>
      <c r="P48" s="128"/>
      <c r="Q48" s="129"/>
      <c r="R48" s="43"/>
    </row>
    <row r="49" spans="1:18" ht="24">
      <c r="A49" s="42"/>
      <c r="B49" s="109">
        <v>10</v>
      </c>
      <c r="C49" s="56" t="s">
        <v>226</v>
      </c>
      <c r="D49" s="56" t="s">
        <v>497</v>
      </c>
      <c r="E49" s="110" t="s">
        <v>102</v>
      </c>
      <c r="F49" s="56" t="s">
        <v>76</v>
      </c>
      <c r="G49" s="56" t="s">
        <v>91</v>
      </c>
      <c r="H49" s="110" t="s">
        <v>107</v>
      </c>
      <c r="I49" s="110" t="s">
        <v>467</v>
      </c>
      <c r="J49" s="110"/>
      <c r="K49" s="111" t="s">
        <v>133</v>
      </c>
      <c r="L49" s="112"/>
      <c r="M49" s="127"/>
      <c r="N49" s="116"/>
      <c r="O49" s="128"/>
      <c r="P49" s="128"/>
      <c r="Q49" s="129"/>
      <c r="R49" s="43"/>
    </row>
    <row r="50" spans="1:18" ht="36">
      <c r="A50" s="42"/>
      <c r="B50" s="109">
        <v>11</v>
      </c>
      <c r="C50" s="56" t="s">
        <v>226</v>
      </c>
      <c r="D50" s="56" t="s">
        <v>498</v>
      </c>
      <c r="E50" s="110" t="s">
        <v>102</v>
      </c>
      <c r="F50" s="56" t="s">
        <v>48</v>
      </c>
      <c r="G50" s="56" t="s">
        <v>54</v>
      </c>
      <c r="H50" s="110" t="s">
        <v>457</v>
      </c>
      <c r="I50" s="110" t="s">
        <v>458</v>
      </c>
      <c r="J50" s="110"/>
      <c r="K50" s="111" t="s">
        <v>132</v>
      </c>
      <c r="L50" s="112"/>
      <c r="M50" s="127"/>
      <c r="N50" s="116"/>
      <c r="O50" s="128"/>
      <c r="P50" s="128"/>
      <c r="Q50" s="129"/>
      <c r="R50" s="43"/>
    </row>
    <row r="51" spans="1:18" ht="36">
      <c r="A51" s="42"/>
      <c r="B51" s="109">
        <v>12</v>
      </c>
      <c r="C51" s="56" t="s">
        <v>226</v>
      </c>
      <c r="D51" s="56" t="s">
        <v>499</v>
      </c>
      <c r="E51" s="110" t="s">
        <v>102</v>
      </c>
      <c r="F51" s="56" t="s">
        <v>48</v>
      </c>
      <c r="G51" s="56" t="s">
        <v>54</v>
      </c>
      <c r="H51" s="110" t="s">
        <v>103</v>
      </c>
      <c r="I51" s="110" t="s">
        <v>459</v>
      </c>
      <c r="J51" s="110" t="s">
        <v>469</v>
      </c>
      <c r="K51" s="111" t="s">
        <v>141</v>
      </c>
      <c r="L51" s="112"/>
      <c r="M51" s="127"/>
      <c r="N51" s="116"/>
      <c r="O51" s="128"/>
      <c r="P51" s="128"/>
      <c r="Q51" s="129"/>
      <c r="R51" s="43"/>
    </row>
    <row r="52" spans="1:18" ht="36">
      <c r="A52" s="42"/>
      <c r="B52" s="109">
        <v>13</v>
      </c>
      <c r="C52" s="56" t="s">
        <v>226</v>
      </c>
      <c r="D52" s="56" t="s">
        <v>502</v>
      </c>
      <c r="E52" s="110" t="s">
        <v>102</v>
      </c>
      <c r="F52" s="56" t="s">
        <v>48</v>
      </c>
      <c r="G52" s="56" t="s">
        <v>54</v>
      </c>
      <c r="H52" s="110" t="s">
        <v>103</v>
      </c>
      <c r="I52" s="110" t="s">
        <v>460</v>
      </c>
      <c r="J52" s="111" t="s">
        <v>104</v>
      </c>
      <c r="K52" s="111" t="s">
        <v>105</v>
      </c>
      <c r="L52" s="112"/>
      <c r="M52" s="127"/>
      <c r="N52" s="116"/>
      <c r="O52" s="128"/>
      <c r="P52" s="128"/>
      <c r="Q52" s="129"/>
      <c r="R52" s="43"/>
    </row>
    <row r="53" spans="1:18" ht="36">
      <c r="A53" s="42"/>
      <c r="B53" s="109">
        <v>14</v>
      </c>
      <c r="C53" s="56" t="s">
        <v>226</v>
      </c>
      <c r="D53" s="56" t="s">
        <v>503</v>
      </c>
      <c r="E53" s="110" t="s">
        <v>102</v>
      </c>
      <c r="F53" s="56" t="s">
        <v>48</v>
      </c>
      <c r="G53" s="56" t="s">
        <v>54</v>
      </c>
      <c r="H53" s="110" t="s">
        <v>103</v>
      </c>
      <c r="I53" s="110" t="s">
        <v>461</v>
      </c>
      <c r="J53" s="111" t="s">
        <v>104</v>
      </c>
      <c r="K53" s="111" t="s">
        <v>106</v>
      </c>
      <c r="L53" s="112"/>
      <c r="M53" s="127"/>
      <c r="N53" s="116"/>
      <c r="O53" s="128"/>
      <c r="P53" s="128"/>
      <c r="Q53" s="129"/>
      <c r="R53" s="43"/>
    </row>
    <row r="54" spans="1:18" ht="36">
      <c r="A54" s="42"/>
      <c r="B54" s="109">
        <v>15</v>
      </c>
      <c r="C54" s="56" t="s">
        <v>226</v>
      </c>
      <c r="D54" s="56" t="s">
        <v>504</v>
      </c>
      <c r="E54" s="110" t="s">
        <v>102</v>
      </c>
      <c r="F54" s="56" t="s">
        <v>48</v>
      </c>
      <c r="G54" s="56" t="s">
        <v>54</v>
      </c>
      <c r="H54" s="110" t="s">
        <v>115</v>
      </c>
      <c r="I54" s="110" t="s">
        <v>462</v>
      </c>
      <c r="J54" s="110" t="s">
        <v>470</v>
      </c>
      <c r="K54" s="111" t="s">
        <v>136</v>
      </c>
      <c r="L54" s="112"/>
      <c r="M54" s="127"/>
      <c r="N54" s="116"/>
      <c r="O54" s="128"/>
      <c r="P54" s="128"/>
      <c r="Q54" s="129"/>
      <c r="R54" s="43"/>
    </row>
    <row r="55" spans="1:18" ht="36">
      <c r="A55" s="42"/>
      <c r="B55" s="109">
        <v>16</v>
      </c>
      <c r="C55" s="56" t="s">
        <v>226</v>
      </c>
      <c r="D55" s="56" t="s">
        <v>505</v>
      </c>
      <c r="E55" s="110" t="s">
        <v>102</v>
      </c>
      <c r="F55" s="56" t="s">
        <v>48</v>
      </c>
      <c r="G55" s="56" t="s">
        <v>54</v>
      </c>
      <c r="H55" s="110" t="s">
        <v>108</v>
      </c>
      <c r="I55" s="110" t="s">
        <v>463</v>
      </c>
      <c r="J55" s="110" t="s">
        <v>471</v>
      </c>
      <c r="K55" s="111" t="s">
        <v>142</v>
      </c>
      <c r="L55" s="112"/>
      <c r="M55" s="127"/>
      <c r="N55" s="116"/>
      <c r="O55" s="128"/>
      <c r="P55" s="128"/>
      <c r="Q55" s="129"/>
      <c r="R55" s="43"/>
    </row>
    <row r="56" spans="1:18" ht="36">
      <c r="A56" s="42"/>
      <c r="B56" s="109">
        <v>17</v>
      </c>
      <c r="C56" s="56" t="s">
        <v>226</v>
      </c>
      <c r="D56" s="56" t="s">
        <v>506</v>
      </c>
      <c r="E56" s="110" t="s">
        <v>102</v>
      </c>
      <c r="F56" s="56" t="s">
        <v>48</v>
      </c>
      <c r="G56" s="56" t="s">
        <v>54</v>
      </c>
      <c r="H56" s="110" t="s">
        <v>108</v>
      </c>
      <c r="I56" s="110" t="s">
        <v>464</v>
      </c>
      <c r="J56" s="111" t="s">
        <v>471</v>
      </c>
      <c r="K56" s="111" t="s">
        <v>110</v>
      </c>
      <c r="L56" s="112"/>
      <c r="M56" s="127"/>
      <c r="N56" s="116"/>
      <c r="O56" s="128"/>
      <c r="P56" s="128"/>
      <c r="Q56" s="129"/>
      <c r="R56" s="43"/>
    </row>
    <row r="57" spans="1:18" ht="36">
      <c r="A57" s="42"/>
      <c r="B57" s="109">
        <v>18</v>
      </c>
      <c r="C57" s="56" t="s">
        <v>226</v>
      </c>
      <c r="D57" s="56" t="s">
        <v>507</v>
      </c>
      <c r="E57" s="110" t="s">
        <v>102</v>
      </c>
      <c r="F57" s="56" t="s">
        <v>48</v>
      </c>
      <c r="G57" s="56" t="s">
        <v>54</v>
      </c>
      <c r="H57" s="110" t="s">
        <v>108</v>
      </c>
      <c r="I57" s="110" t="s">
        <v>465</v>
      </c>
      <c r="J57" s="111" t="s">
        <v>109</v>
      </c>
      <c r="K57" s="111" t="s">
        <v>111</v>
      </c>
      <c r="L57" s="112"/>
      <c r="M57" s="127"/>
      <c r="N57" s="116"/>
      <c r="O57" s="128"/>
      <c r="P57" s="128"/>
      <c r="Q57" s="129"/>
      <c r="R57" s="43"/>
    </row>
    <row r="58" spans="1:18" ht="36">
      <c r="A58" s="42"/>
      <c r="B58" s="109">
        <v>19</v>
      </c>
      <c r="C58" s="56" t="s">
        <v>226</v>
      </c>
      <c r="D58" s="56" t="s">
        <v>508</v>
      </c>
      <c r="E58" s="110" t="s">
        <v>102</v>
      </c>
      <c r="F58" s="56" t="s">
        <v>48</v>
      </c>
      <c r="G58" s="56" t="s">
        <v>54</v>
      </c>
      <c r="H58" s="110" t="s">
        <v>114</v>
      </c>
      <c r="I58" s="110" t="s">
        <v>466</v>
      </c>
      <c r="J58" s="110" t="s">
        <v>470</v>
      </c>
      <c r="K58" s="111" t="s">
        <v>143</v>
      </c>
      <c r="L58" s="112"/>
      <c r="M58" s="127"/>
      <c r="N58" s="116"/>
      <c r="O58" s="128"/>
      <c r="P58" s="128"/>
      <c r="Q58" s="129"/>
      <c r="R58" s="43"/>
    </row>
    <row r="59" spans="1:18" ht="24">
      <c r="A59" s="42"/>
      <c r="B59" s="109">
        <v>20</v>
      </c>
      <c r="C59" s="56" t="s">
        <v>226</v>
      </c>
      <c r="D59" s="56" t="s">
        <v>509</v>
      </c>
      <c r="E59" s="110" t="s">
        <v>102</v>
      </c>
      <c r="F59" s="56" t="s">
        <v>48</v>
      </c>
      <c r="G59" s="56" t="s">
        <v>91</v>
      </c>
      <c r="H59" s="110" t="s">
        <v>107</v>
      </c>
      <c r="I59" s="110" t="s">
        <v>467</v>
      </c>
      <c r="J59" s="110"/>
      <c r="K59" s="111" t="s">
        <v>133</v>
      </c>
      <c r="L59" s="112"/>
      <c r="M59" s="127"/>
      <c r="N59" s="116"/>
      <c r="O59" s="128"/>
      <c r="P59" s="128"/>
      <c r="Q59" s="129"/>
      <c r="R59" s="43"/>
    </row>
    <row r="60" spans="1:18" ht="36">
      <c r="A60" s="42"/>
      <c r="B60" s="109">
        <v>21</v>
      </c>
      <c r="C60" s="56" t="s">
        <v>244</v>
      </c>
      <c r="D60" s="56" t="s">
        <v>510</v>
      </c>
      <c r="E60" s="110" t="s">
        <v>102</v>
      </c>
      <c r="F60" s="56" t="s">
        <v>59</v>
      </c>
      <c r="G60" s="56" t="s">
        <v>54</v>
      </c>
      <c r="H60" s="110" t="s">
        <v>457</v>
      </c>
      <c r="I60" s="110" t="s">
        <v>458</v>
      </c>
      <c r="J60" s="110"/>
      <c r="K60" s="111" t="s">
        <v>132</v>
      </c>
      <c r="L60" s="112"/>
      <c r="M60" s="127"/>
      <c r="N60" s="116"/>
      <c r="O60" s="128"/>
      <c r="P60" s="128"/>
      <c r="Q60" s="129"/>
      <c r="R60" s="43"/>
    </row>
    <row r="61" spans="1:18" ht="36">
      <c r="A61" s="42"/>
      <c r="B61" s="109">
        <v>22</v>
      </c>
      <c r="C61" s="56" t="s">
        <v>244</v>
      </c>
      <c r="D61" s="56" t="s">
        <v>511</v>
      </c>
      <c r="E61" s="110" t="s">
        <v>102</v>
      </c>
      <c r="F61" s="56" t="s">
        <v>59</v>
      </c>
      <c r="G61" s="56" t="s">
        <v>54</v>
      </c>
      <c r="H61" s="110" t="s">
        <v>103</v>
      </c>
      <c r="I61" s="110" t="s">
        <v>459</v>
      </c>
      <c r="J61" s="110" t="s">
        <v>469</v>
      </c>
      <c r="K61" s="111" t="s">
        <v>141</v>
      </c>
      <c r="L61" s="112"/>
      <c r="M61" s="127"/>
      <c r="N61" s="116"/>
      <c r="O61" s="128"/>
      <c r="P61" s="128"/>
      <c r="Q61" s="129"/>
      <c r="R61" s="43"/>
    </row>
    <row r="62" spans="1:18" ht="36">
      <c r="A62" s="42"/>
      <c r="B62" s="109">
        <v>23</v>
      </c>
      <c r="C62" s="56" t="s">
        <v>244</v>
      </c>
      <c r="D62" s="56" t="s">
        <v>512</v>
      </c>
      <c r="E62" s="110" t="s">
        <v>102</v>
      </c>
      <c r="F62" s="56" t="s">
        <v>59</v>
      </c>
      <c r="G62" s="56" t="s">
        <v>54</v>
      </c>
      <c r="H62" s="110" t="s">
        <v>103</v>
      </c>
      <c r="I62" s="110" t="s">
        <v>460</v>
      </c>
      <c r="J62" s="111" t="s">
        <v>104</v>
      </c>
      <c r="K62" s="111" t="s">
        <v>105</v>
      </c>
      <c r="L62" s="112"/>
      <c r="M62" s="127"/>
      <c r="N62" s="116"/>
      <c r="O62" s="128"/>
      <c r="P62" s="128"/>
      <c r="Q62" s="129"/>
      <c r="R62" s="43"/>
    </row>
    <row r="63" spans="1:18" ht="36">
      <c r="A63" s="42"/>
      <c r="B63" s="109">
        <v>24</v>
      </c>
      <c r="C63" s="56" t="s">
        <v>244</v>
      </c>
      <c r="D63" s="56" t="s">
        <v>513</v>
      </c>
      <c r="E63" s="110" t="s">
        <v>102</v>
      </c>
      <c r="F63" s="56" t="s">
        <v>59</v>
      </c>
      <c r="G63" s="56" t="s">
        <v>54</v>
      </c>
      <c r="H63" s="110" t="s">
        <v>103</v>
      </c>
      <c r="I63" s="110" t="s">
        <v>461</v>
      </c>
      <c r="J63" s="111" t="s">
        <v>104</v>
      </c>
      <c r="K63" s="111" t="s">
        <v>106</v>
      </c>
      <c r="L63" s="112"/>
      <c r="M63" s="127"/>
      <c r="N63" s="116"/>
      <c r="O63" s="128"/>
      <c r="P63" s="128"/>
      <c r="Q63" s="129"/>
      <c r="R63" s="43"/>
    </row>
    <row r="64" spans="1:18" ht="36">
      <c r="A64" s="42"/>
      <c r="B64" s="109">
        <v>25</v>
      </c>
      <c r="C64" s="56" t="s">
        <v>244</v>
      </c>
      <c r="D64" s="56" t="s">
        <v>514</v>
      </c>
      <c r="E64" s="110" t="s">
        <v>102</v>
      </c>
      <c r="F64" s="56" t="s">
        <v>59</v>
      </c>
      <c r="G64" s="56" t="s">
        <v>54</v>
      </c>
      <c r="H64" s="110" t="s">
        <v>115</v>
      </c>
      <c r="I64" s="110" t="s">
        <v>462</v>
      </c>
      <c r="J64" s="110" t="s">
        <v>470</v>
      </c>
      <c r="K64" s="111" t="s">
        <v>136</v>
      </c>
      <c r="L64" s="112"/>
      <c r="M64" s="127"/>
      <c r="N64" s="116"/>
      <c r="O64" s="128"/>
      <c r="P64" s="128"/>
      <c r="Q64" s="129"/>
      <c r="R64" s="43"/>
    </row>
    <row r="65" spans="1:18" ht="36">
      <c r="A65" s="42"/>
      <c r="B65" s="109">
        <v>26</v>
      </c>
      <c r="C65" s="56" t="s">
        <v>244</v>
      </c>
      <c r="D65" s="56" t="s">
        <v>292</v>
      </c>
      <c r="E65" s="110" t="s">
        <v>102</v>
      </c>
      <c r="F65" s="56" t="s">
        <v>59</v>
      </c>
      <c r="G65" s="56" t="s">
        <v>54</v>
      </c>
      <c r="H65" s="110" t="s">
        <v>108</v>
      </c>
      <c r="I65" s="110" t="s">
        <v>463</v>
      </c>
      <c r="J65" s="110" t="s">
        <v>471</v>
      </c>
      <c r="K65" s="111" t="s">
        <v>142</v>
      </c>
      <c r="L65" s="112"/>
      <c r="M65" s="127"/>
      <c r="N65" s="116"/>
      <c r="O65" s="128"/>
      <c r="P65" s="128"/>
      <c r="Q65" s="129"/>
      <c r="R65" s="43"/>
    </row>
    <row r="66" spans="1:18" ht="36">
      <c r="A66" s="42"/>
      <c r="B66" s="109">
        <v>27</v>
      </c>
      <c r="C66" s="56" t="s">
        <v>244</v>
      </c>
      <c r="D66" s="56" t="s">
        <v>515</v>
      </c>
      <c r="E66" s="110" t="s">
        <v>102</v>
      </c>
      <c r="F66" s="56" t="s">
        <v>59</v>
      </c>
      <c r="G66" s="56" t="s">
        <v>54</v>
      </c>
      <c r="H66" s="110" t="s">
        <v>108</v>
      </c>
      <c r="I66" s="110" t="s">
        <v>464</v>
      </c>
      <c r="J66" s="111" t="s">
        <v>471</v>
      </c>
      <c r="K66" s="111" t="s">
        <v>110</v>
      </c>
      <c r="L66" s="112"/>
      <c r="M66" s="127"/>
      <c r="N66" s="116"/>
      <c r="O66" s="128"/>
      <c r="P66" s="128"/>
      <c r="Q66" s="129"/>
      <c r="R66" s="43"/>
    </row>
    <row r="67" spans="1:18" ht="36">
      <c r="A67" s="42"/>
      <c r="B67" s="109">
        <v>28</v>
      </c>
      <c r="C67" s="56" t="s">
        <v>244</v>
      </c>
      <c r="D67" s="56" t="s">
        <v>516</v>
      </c>
      <c r="E67" s="110" t="s">
        <v>102</v>
      </c>
      <c r="F67" s="56" t="s">
        <v>59</v>
      </c>
      <c r="G67" s="56" t="s">
        <v>54</v>
      </c>
      <c r="H67" s="110" t="s">
        <v>108</v>
      </c>
      <c r="I67" s="110" t="s">
        <v>465</v>
      </c>
      <c r="J67" s="111" t="s">
        <v>109</v>
      </c>
      <c r="K67" s="111" t="s">
        <v>111</v>
      </c>
      <c r="L67" s="112"/>
      <c r="M67" s="127"/>
      <c r="N67" s="116"/>
      <c r="O67" s="128"/>
      <c r="P67" s="128"/>
      <c r="Q67" s="129"/>
      <c r="R67" s="43"/>
    </row>
    <row r="68" spans="1:18" ht="36">
      <c r="A68" s="42"/>
      <c r="B68" s="109">
        <v>29</v>
      </c>
      <c r="C68" s="56" t="s">
        <v>244</v>
      </c>
      <c r="D68" s="56" t="s">
        <v>517</v>
      </c>
      <c r="E68" s="110" t="s">
        <v>102</v>
      </c>
      <c r="F68" s="56" t="s">
        <v>59</v>
      </c>
      <c r="G68" s="56" t="s">
        <v>54</v>
      </c>
      <c r="H68" s="110" t="s">
        <v>114</v>
      </c>
      <c r="I68" s="110" t="s">
        <v>466</v>
      </c>
      <c r="J68" s="110" t="s">
        <v>470</v>
      </c>
      <c r="K68" s="111" t="s">
        <v>143</v>
      </c>
      <c r="L68" s="112"/>
      <c r="M68" s="127"/>
      <c r="N68" s="116"/>
      <c r="O68" s="128"/>
      <c r="P68" s="128"/>
      <c r="Q68" s="129"/>
      <c r="R68" s="43"/>
    </row>
    <row r="69" spans="1:18" ht="24">
      <c r="A69" s="42"/>
      <c r="B69" s="109">
        <v>30</v>
      </c>
      <c r="C69" s="56" t="s">
        <v>244</v>
      </c>
      <c r="D69" s="56" t="s">
        <v>518</v>
      </c>
      <c r="E69" s="110" t="s">
        <v>102</v>
      </c>
      <c r="F69" s="56" t="s">
        <v>59</v>
      </c>
      <c r="G69" s="56" t="s">
        <v>91</v>
      </c>
      <c r="H69" s="110" t="s">
        <v>107</v>
      </c>
      <c r="I69" s="110" t="s">
        <v>467</v>
      </c>
      <c r="J69" s="110"/>
      <c r="K69" s="111" t="s">
        <v>133</v>
      </c>
      <c r="L69" s="112"/>
      <c r="M69" s="127"/>
      <c r="N69" s="116"/>
      <c r="O69" s="128"/>
      <c r="P69" s="128"/>
      <c r="Q69" s="129"/>
      <c r="R69" s="43"/>
    </row>
    <row r="70" spans="1:18" ht="36">
      <c r="A70" s="42"/>
      <c r="B70" s="109">
        <v>31</v>
      </c>
      <c r="C70" s="56" t="s">
        <v>244</v>
      </c>
      <c r="D70" s="56" t="s">
        <v>519</v>
      </c>
      <c r="E70" s="110" t="s">
        <v>102</v>
      </c>
      <c r="F70" s="56" t="s">
        <v>48</v>
      </c>
      <c r="G70" s="56" t="s">
        <v>54</v>
      </c>
      <c r="H70" s="110" t="s">
        <v>457</v>
      </c>
      <c r="I70" s="110" t="s">
        <v>458</v>
      </c>
      <c r="J70" s="110"/>
      <c r="K70" s="111" t="s">
        <v>132</v>
      </c>
      <c r="L70" s="112"/>
      <c r="M70" s="127"/>
      <c r="N70" s="116"/>
      <c r="O70" s="128"/>
      <c r="P70" s="128"/>
      <c r="Q70" s="129"/>
      <c r="R70" s="43"/>
    </row>
    <row r="71" spans="1:18" ht="36">
      <c r="A71" s="42"/>
      <c r="B71" s="109">
        <v>32</v>
      </c>
      <c r="C71" s="56" t="s">
        <v>244</v>
      </c>
      <c r="D71" s="56" t="s">
        <v>520</v>
      </c>
      <c r="E71" s="110" t="s">
        <v>102</v>
      </c>
      <c r="F71" s="56" t="s">
        <v>48</v>
      </c>
      <c r="G71" s="56" t="s">
        <v>54</v>
      </c>
      <c r="H71" s="110" t="s">
        <v>103</v>
      </c>
      <c r="I71" s="110" t="s">
        <v>459</v>
      </c>
      <c r="J71" s="110" t="s">
        <v>469</v>
      </c>
      <c r="K71" s="111" t="s">
        <v>141</v>
      </c>
      <c r="L71" s="112"/>
      <c r="M71" s="127"/>
      <c r="N71" s="116"/>
      <c r="O71" s="128"/>
      <c r="P71" s="128"/>
      <c r="Q71" s="129"/>
      <c r="R71" s="43"/>
    </row>
    <row r="72" spans="1:18" ht="36">
      <c r="A72" s="42"/>
      <c r="B72" s="109">
        <v>33</v>
      </c>
      <c r="C72" s="56" t="s">
        <v>244</v>
      </c>
      <c r="D72" s="56" t="s">
        <v>521</v>
      </c>
      <c r="E72" s="110" t="s">
        <v>102</v>
      </c>
      <c r="F72" s="56" t="s">
        <v>48</v>
      </c>
      <c r="G72" s="56" t="s">
        <v>54</v>
      </c>
      <c r="H72" s="110" t="s">
        <v>103</v>
      </c>
      <c r="I72" s="110" t="s">
        <v>460</v>
      </c>
      <c r="J72" s="111" t="s">
        <v>104</v>
      </c>
      <c r="K72" s="111" t="s">
        <v>105</v>
      </c>
      <c r="L72" s="112"/>
      <c r="M72" s="127"/>
      <c r="N72" s="116"/>
      <c r="O72" s="128"/>
      <c r="P72" s="128"/>
      <c r="Q72" s="129"/>
      <c r="R72" s="43"/>
    </row>
    <row r="73" spans="1:18" ht="36">
      <c r="A73" s="42"/>
      <c r="B73" s="109">
        <v>34</v>
      </c>
      <c r="C73" s="56" t="s">
        <v>244</v>
      </c>
      <c r="D73" s="56" t="s">
        <v>522</v>
      </c>
      <c r="E73" s="110" t="s">
        <v>102</v>
      </c>
      <c r="F73" s="56" t="s">
        <v>48</v>
      </c>
      <c r="G73" s="56" t="s">
        <v>54</v>
      </c>
      <c r="H73" s="110" t="s">
        <v>103</v>
      </c>
      <c r="I73" s="110" t="s">
        <v>461</v>
      </c>
      <c r="J73" s="111" t="s">
        <v>104</v>
      </c>
      <c r="K73" s="111" t="s">
        <v>106</v>
      </c>
      <c r="L73" s="112"/>
      <c r="M73" s="127"/>
      <c r="N73" s="116"/>
      <c r="O73" s="128"/>
      <c r="P73" s="128"/>
      <c r="Q73" s="129"/>
      <c r="R73" s="43"/>
    </row>
    <row r="74" spans="1:18" ht="36">
      <c r="A74" s="42"/>
      <c r="B74" s="109">
        <v>35</v>
      </c>
      <c r="C74" s="56" t="s">
        <v>244</v>
      </c>
      <c r="D74" s="56" t="s">
        <v>523</v>
      </c>
      <c r="E74" s="110" t="s">
        <v>102</v>
      </c>
      <c r="F74" s="56" t="s">
        <v>48</v>
      </c>
      <c r="G74" s="56" t="s">
        <v>54</v>
      </c>
      <c r="H74" s="110" t="s">
        <v>115</v>
      </c>
      <c r="I74" s="110" t="s">
        <v>462</v>
      </c>
      <c r="J74" s="110" t="s">
        <v>470</v>
      </c>
      <c r="K74" s="111" t="s">
        <v>136</v>
      </c>
      <c r="L74" s="112"/>
      <c r="M74" s="127"/>
      <c r="N74" s="116"/>
      <c r="O74" s="128"/>
      <c r="P74" s="128"/>
      <c r="Q74" s="129"/>
      <c r="R74" s="43"/>
    </row>
    <row r="75" spans="1:18" ht="36">
      <c r="A75" s="42"/>
      <c r="B75" s="109">
        <v>36</v>
      </c>
      <c r="C75" s="56" t="s">
        <v>244</v>
      </c>
      <c r="D75" s="56" t="s">
        <v>524</v>
      </c>
      <c r="E75" s="110" t="s">
        <v>102</v>
      </c>
      <c r="F75" s="56" t="s">
        <v>48</v>
      </c>
      <c r="G75" s="56" t="s">
        <v>54</v>
      </c>
      <c r="H75" s="110" t="s">
        <v>108</v>
      </c>
      <c r="I75" s="110" t="s">
        <v>463</v>
      </c>
      <c r="J75" s="110" t="s">
        <v>471</v>
      </c>
      <c r="K75" s="111" t="s">
        <v>142</v>
      </c>
      <c r="L75" s="112"/>
      <c r="M75" s="127"/>
      <c r="N75" s="116"/>
      <c r="O75" s="128"/>
      <c r="P75" s="128"/>
      <c r="Q75" s="129"/>
      <c r="R75" s="43"/>
    </row>
    <row r="76" spans="1:18" ht="36">
      <c r="A76" s="42"/>
      <c r="B76" s="109">
        <v>37</v>
      </c>
      <c r="C76" s="56" t="s">
        <v>244</v>
      </c>
      <c r="D76" s="56" t="s">
        <v>525</v>
      </c>
      <c r="E76" s="110" t="s">
        <v>102</v>
      </c>
      <c r="F76" s="56" t="s">
        <v>48</v>
      </c>
      <c r="G76" s="56" t="s">
        <v>54</v>
      </c>
      <c r="H76" s="110" t="s">
        <v>108</v>
      </c>
      <c r="I76" s="110" t="s">
        <v>464</v>
      </c>
      <c r="J76" s="111" t="s">
        <v>471</v>
      </c>
      <c r="K76" s="111" t="s">
        <v>110</v>
      </c>
      <c r="L76" s="112"/>
      <c r="M76" s="127"/>
      <c r="N76" s="116"/>
      <c r="O76" s="128"/>
      <c r="P76" s="128"/>
      <c r="Q76" s="129"/>
      <c r="R76" s="43"/>
    </row>
    <row r="77" spans="1:18" ht="36">
      <c r="A77" s="42"/>
      <c r="B77" s="109">
        <v>38</v>
      </c>
      <c r="C77" s="56" t="s">
        <v>244</v>
      </c>
      <c r="D77" s="56" t="s">
        <v>526</v>
      </c>
      <c r="E77" s="110" t="s">
        <v>102</v>
      </c>
      <c r="F77" s="56" t="s">
        <v>48</v>
      </c>
      <c r="G77" s="56" t="s">
        <v>54</v>
      </c>
      <c r="H77" s="110" t="s">
        <v>108</v>
      </c>
      <c r="I77" s="110" t="s">
        <v>465</v>
      </c>
      <c r="J77" s="111" t="s">
        <v>109</v>
      </c>
      <c r="K77" s="111" t="s">
        <v>111</v>
      </c>
      <c r="L77" s="112"/>
      <c r="M77" s="127"/>
      <c r="N77" s="116"/>
      <c r="O77" s="128"/>
      <c r="P77" s="128"/>
      <c r="Q77" s="129"/>
      <c r="R77" s="43"/>
    </row>
    <row r="78" spans="1:18" ht="36">
      <c r="A78" s="42"/>
      <c r="B78" s="109">
        <v>39</v>
      </c>
      <c r="C78" s="56" t="s">
        <v>244</v>
      </c>
      <c r="D78" s="56" t="s">
        <v>527</v>
      </c>
      <c r="E78" s="110" t="s">
        <v>102</v>
      </c>
      <c r="F78" s="56" t="s">
        <v>48</v>
      </c>
      <c r="G78" s="56" t="s">
        <v>54</v>
      </c>
      <c r="H78" s="110" t="s">
        <v>114</v>
      </c>
      <c r="I78" s="110" t="s">
        <v>466</v>
      </c>
      <c r="J78" s="110" t="s">
        <v>470</v>
      </c>
      <c r="K78" s="111" t="s">
        <v>143</v>
      </c>
      <c r="L78" s="112"/>
      <c r="M78" s="127"/>
      <c r="N78" s="116"/>
      <c r="O78" s="128"/>
      <c r="P78" s="128"/>
      <c r="Q78" s="129"/>
      <c r="R78" s="43"/>
    </row>
    <row r="79" spans="1:18" ht="24">
      <c r="A79" s="42"/>
      <c r="B79" s="118">
        <v>40</v>
      </c>
      <c r="C79" s="56" t="s">
        <v>244</v>
      </c>
      <c r="D79" s="119" t="s">
        <v>528</v>
      </c>
      <c r="E79" s="137" t="s">
        <v>102</v>
      </c>
      <c r="F79" s="119" t="s">
        <v>48</v>
      </c>
      <c r="G79" s="119" t="s">
        <v>91</v>
      </c>
      <c r="H79" s="137" t="s">
        <v>107</v>
      </c>
      <c r="I79" s="137" t="s">
        <v>467</v>
      </c>
      <c r="J79" s="137"/>
      <c r="K79" s="138" t="s">
        <v>133</v>
      </c>
      <c r="L79" s="139"/>
      <c r="M79" s="140"/>
      <c r="N79" s="116"/>
      <c r="O79" s="135"/>
      <c r="P79" s="135"/>
      <c r="Q79" s="136"/>
      <c r="R79" s="43"/>
    </row>
    <row r="80" spans="1:18">
      <c r="B80" s="46"/>
      <c r="C80" s="46"/>
      <c r="D80" s="46"/>
      <c r="E80" s="46"/>
      <c r="F80" s="46"/>
      <c r="G80" s="46"/>
      <c r="H80" s="46"/>
      <c r="I80" s="46"/>
      <c r="J80" s="47"/>
      <c r="K80" s="47"/>
      <c r="L80" s="47"/>
      <c r="M80" s="47"/>
      <c r="N80" s="46"/>
      <c r="O80" s="47"/>
      <c r="P80" s="47"/>
      <c r="Q80" s="47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79" xr:uid="{0D28BA7E-1348-4172-BD9E-A4C0A1E0EE90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46" fitToHeight="2" orientation="landscape" verticalDpi="4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ABDD-8D06-4C3C-8EA5-C1460AF1F3A8}">
  <sheetPr>
    <pageSetUpPr fitToPage="1"/>
  </sheetPr>
  <dimension ref="A1:Q87"/>
  <sheetViews>
    <sheetView zoomScaleNormal="100" workbookViewId="0">
      <selection activeCell="N40" sqref="N40"/>
    </sheetView>
  </sheetViews>
  <sheetFormatPr defaultColWidth="8.88671875" defaultRowHeight="13.5"/>
  <cols>
    <col min="1" max="1" width="2.6640625" style="36" customWidth="1"/>
    <col min="2" max="2" width="5.5546875" style="38" customWidth="1"/>
    <col min="3" max="4" width="10.21875" style="38" customWidth="1"/>
    <col min="5" max="5" width="13.6640625" style="38" customWidth="1"/>
    <col min="6" max="7" width="5.6640625" style="38" customWidth="1"/>
    <col min="8" max="8" width="15.6640625" style="38" customWidth="1"/>
    <col min="9" max="9" width="25.6640625" style="38" customWidth="1"/>
    <col min="10" max="10" width="15.6640625" style="36" customWidth="1"/>
    <col min="11" max="11" width="31.88671875" style="36" customWidth="1"/>
    <col min="12" max="13" width="8.6640625" style="36" customWidth="1"/>
    <col min="14" max="14" width="9.109375" style="38" customWidth="1"/>
    <col min="15" max="15" width="30.6640625" style="36" customWidth="1"/>
    <col min="16" max="16" width="10.5546875" style="36" bestFit="1" customWidth="1"/>
    <col min="17" max="16384" width="8.88671875" style="36"/>
  </cols>
  <sheetData>
    <row r="1" spans="1:16" ht="66" customHeight="1">
      <c r="B1" s="37"/>
      <c r="C1" s="37"/>
      <c r="D1" s="37"/>
      <c r="E1" s="37"/>
    </row>
    <row r="2" spans="1:16" ht="58.9" customHeight="1">
      <c r="B2" s="59" t="s">
        <v>210</v>
      </c>
      <c r="C2" s="88" t="s">
        <v>207</v>
      </c>
      <c r="D2" s="89"/>
      <c r="E2" s="89"/>
      <c r="F2" s="89"/>
      <c r="G2" s="89"/>
      <c r="H2" s="89"/>
      <c r="I2" s="89"/>
      <c r="J2" s="89"/>
      <c r="K2" s="90"/>
      <c r="L2" s="27"/>
      <c r="M2" s="45"/>
      <c r="N2" s="160"/>
      <c r="O2" s="45"/>
      <c r="P2" s="45"/>
    </row>
    <row r="3" spans="1:16" ht="7.5" customHeight="1">
      <c r="B3" s="31"/>
      <c r="C3" s="31"/>
      <c r="D3" s="31"/>
      <c r="E3" s="31"/>
      <c r="F3" s="60"/>
      <c r="G3" s="60"/>
      <c r="H3" s="60"/>
      <c r="I3" s="60"/>
      <c r="J3" s="32"/>
      <c r="K3" s="32"/>
      <c r="L3" s="25"/>
    </row>
    <row r="4" spans="1:16">
      <c r="A4" s="42"/>
      <c r="B4" s="93" t="s">
        <v>37</v>
      </c>
      <c r="C4" s="93"/>
      <c r="D4" s="93"/>
      <c r="E4" s="93"/>
      <c r="F4" s="93"/>
      <c r="G4" s="93"/>
      <c r="H4" s="93"/>
      <c r="I4" s="93"/>
      <c r="J4" s="93"/>
      <c r="K4" s="93"/>
      <c r="L4" s="29"/>
    </row>
    <row r="5" spans="1:16" s="45" customFormat="1">
      <c r="A5" s="44"/>
      <c r="B5" s="94"/>
      <c r="C5" s="94"/>
      <c r="D5" s="94"/>
      <c r="E5" s="94"/>
      <c r="F5" s="94"/>
      <c r="G5" s="94"/>
      <c r="H5" s="94"/>
      <c r="I5" s="94"/>
      <c r="J5" s="94"/>
      <c r="K5" s="94"/>
      <c r="L5" s="30"/>
      <c r="N5" s="160"/>
    </row>
    <row r="6" spans="1:16" s="45" customFormat="1">
      <c r="A6" s="44"/>
      <c r="B6" s="94"/>
      <c r="C6" s="94"/>
      <c r="D6" s="94"/>
      <c r="E6" s="94"/>
      <c r="F6" s="94"/>
      <c r="G6" s="94"/>
      <c r="H6" s="94"/>
      <c r="I6" s="94"/>
      <c r="J6" s="94"/>
      <c r="K6" s="94"/>
      <c r="L6" s="30"/>
      <c r="N6" s="160"/>
    </row>
    <row r="7" spans="1:16" s="45" customFormat="1">
      <c r="A7" s="44"/>
      <c r="B7" s="94"/>
      <c r="C7" s="94"/>
      <c r="D7" s="94"/>
      <c r="E7" s="94"/>
      <c r="F7" s="94"/>
      <c r="G7" s="94"/>
      <c r="H7" s="94"/>
      <c r="I7" s="94"/>
      <c r="J7" s="94"/>
      <c r="K7" s="94"/>
      <c r="L7" s="30"/>
      <c r="N7" s="160"/>
    </row>
    <row r="8" spans="1:16" s="45" customFormat="1">
      <c r="A8" s="44"/>
      <c r="B8" s="94"/>
      <c r="C8" s="94"/>
      <c r="D8" s="94"/>
      <c r="E8" s="94"/>
      <c r="F8" s="94"/>
      <c r="G8" s="94"/>
      <c r="H8" s="94"/>
      <c r="I8" s="94"/>
      <c r="J8" s="94"/>
      <c r="K8" s="94"/>
      <c r="L8" s="30"/>
      <c r="N8" s="160"/>
    </row>
    <row r="9" spans="1:16" s="45" customFormat="1">
      <c r="A9" s="44"/>
      <c r="B9" s="94"/>
      <c r="C9" s="94"/>
      <c r="D9" s="94"/>
      <c r="E9" s="94"/>
      <c r="F9" s="94"/>
      <c r="G9" s="94"/>
      <c r="H9" s="94"/>
      <c r="I9" s="94"/>
      <c r="J9" s="94"/>
      <c r="K9" s="94"/>
      <c r="L9" s="30"/>
      <c r="N9" s="160"/>
    </row>
    <row r="10" spans="1:16" s="45" customFormat="1">
      <c r="A10" s="4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30"/>
      <c r="N10" s="160"/>
    </row>
    <row r="11" spans="1:16" s="45" customFormat="1">
      <c r="A11" s="4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30"/>
      <c r="N11" s="160"/>
    </row>
    <row r="12" spans="1:16" s="45" customFormat="1">
      <c r="A12" s="4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30"/>
      <c r="N12" s="160"/>
    </row>
    <row r="13" spans="1:16" s="45" customFormat="1">
      <c r="A13" s="4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30"/>
      <c r="N13" s="160"/>
    </row>
    <row r="14" spans="1:16" s="45" customFormat="1">
      <c r="A14" s="4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30"/>
      <c r="N14" s="160"/>
    </row>
    <row r="15" spans="1:16" s="45" customFormat="1">
      <c r="A15" s="4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30"/>
      <c r="N15" s="160"/>
    </row>
    <row r="16" spans="1:16" s="45" customFormat="1">
      <c r="A16" s="4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30"/>
      <c r="N16" s="160"/>
    </row>
    <row r="17" spans="1:14" s="45" customFormat="1">
      <c r="A17" s="4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30"/>
      <c r="N17" s="160"/>
    </row>
    <row r="18" spans="1:14" s="45" customFormat="1">
      <c r="A18" s="4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30"/>
      <c r="N18" s="160"/>
    </row>
    <row r="19" spans="1:14" s="45" customFormat="1">
      <c r="A19" s="4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30"/>
      <c r="N19" s="160"/>
    </row>
    <row r="20" spans="1:14" s="45" customFormat="1">
      <c r="A20" s="4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30"/>
      <c r="N20" s="160"/>
    </row>
    <row r="21" spans="1:14" s="45" customFormat="1">
      <c r="A21" s="4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30"/>
      <c r="N21" s="160"/>
    </row>
    <row r="22" spans="1:14" s="45" customFormat="1">
      <c r="A22" s="4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30"/>
      <c r="N22" s="160"/>
    </row>
    <row r="23" spans="1:14" s="45" customFormat="1">
      <c r="A23" s="4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30"/>
      <c r="N23" s="160"/>
    </row>
    <row r="24" spans="1:14" s="45" customFormat="1">
      <c r="A24" s="4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30"/>
      <c r="N24" s="160"/>
    </row>
    <row r="25" spans="1:14" s="45" customFormat="1">
      <c r="A25" s="4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30"/>
      <c r="N25" s="160"/>
    </row>
    <row r="26" spans="1:14" s="45" customFormat="1">
      <c r="A26" s="4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30"/>
      <c r="N26" s="160"/>
    </row>
    <row r="27" spans="1:14" s="45" customFormat="1">
      <c r="A27" s="4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30"/>
      <c r="N27" s="160"/>
    </row>
    <row r="28" spans="1:14" s="45" customFormat="1">
      <c r="A28" s="4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30"/>
      <c r="N28" s="160"/>
    </row>
    <row r="29" spans="1:14">
      <c r="A29" s="42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29"/>
    </row>
    <row r="30" spans="1:14">
      <c r="A30" s="4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29"/>
    </row>
    <row r="31" spans="1:14">
      <c r="A31" s="42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29"/>
    </row>
    <row r="32" spans="1:14">
      <c r="A32" s="42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9"/>
    </row>
    <row r="33" spans="1:17">
      <c r="A33" s="42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9"/>
    </row>
    <row r="34" spans="1:17">
      <c r="A34" s="42"/>
      <c r="B34" s="93" t="s">
        <v>26</v>
      </c>
      <c r="C34" s="93"/>
      <c r="D34" s="93"/>
      <c r="E34" s="93"/>
      <c r="F34" s="93"/>
      <c r="G34" s="93"/>
      <c r="H34" s="93"/>
      <c r="I34" s="93"/>
      <c r="J34" s="93"/>
      <c r="K34" s="93"/>
      <c r="L34" s="29"/>
    </row>
    <row r="35" spans="1:17" ht="66" customHeight="1">
      <c r="A35" s="42"/>
      <c r="B35" s="91" t="s">
        <v>671</v>
      </c>
      <c r="C35" s="91"/>
      <c r="D35" s="91"/>
      <c r="E35" s="92"/>
      <c r="F35" s="92"/>
      <c r="G35" s="92"/>
      <c r="H35" s="92"/>
      <c r="I35" s="92"/>
      <c r="J35" s="92"/>
      <c r="K35" s="92"/>
      <c r="L35" s="29"/>
    </row>
    <row r="36" spans="1:17">
      <c r="A36" s="42"/>
      <c r="B36" s="93" t="s">
        <v>38</v>
      </c>
      <c r="C36" s="93"/>
      <c r="D36" s="93"/>
      <c r="E36" s="93"/>
      <c r="F36" s="93"/>
      <c r="G36" s="93"/>
      <c r="H36" s="93"/>
      <c r="I36" s="93"/>
      <c r="J36" s="93"/>
      <c r="K36" s="93"/>
      <c r="L36" s="29"/>
    </row>
    <row r="37" spans="1:17" ht="30" customHeight="1">
      <c r="A37" s="42"/>
      <c r="B37" s="92" t="s">
        <v>180</v>
      </c>
      <c r="C37" s="92"/>
      <c r="D37" s="92"/>
      <c r="E37" s="92"/>
      <c r="F37" s="92"/>
      <c r="G37" s="92"/>
      <c r="H37" s="92"/>
      <c r="I37" s="92"/>
      <c r="J37" s="92"/>
      <c r="K37" s="92"/>
      <c r="L37" s="29"/>
    </row>
    <row r="38" spans="1:17" ht="10.15" customHeight="1">
      <c r="B38" s="54"/>
      <c r="C38" s="54"/>
      <c r="D38" s="54"/>
      <c r="E38" s="54"/>
      <c r="F38" s="51"/>
      <c r="G38" s="51"/>
      <c r="H38" s="51"/>
      <c r="I38" s="51"/>
      <c r="J38" s="52"/>
      <c r="K38" s="52"/>
      <c r="L38" s="32"/>
      <c r="M38" s="41"/>
      <c r="N38" s="40"/>
      <c r="O38" s="41"/>
      <c r="P38" s="41"/>
      <c r="Q38" s="41"/>
    </row>
    <row r="39" spans="1:17" ht="15" customHeight="1">
      <c r="A39" s="42"/>
      <c r="B39" s="105" t="s">
        <v>196</v>
      </c>
      <c r="C39" s="106" t="s">
        <v>352</v>
      </c>
      <c r="D39" s="106" t="s">
        <v>19</v>
      </c>
      <c r="E39" s="106" t="s">
        <v>40</v>
      </c>
      <c r="F39" s="106" t="s">
        <v>27</v>
      </c>
      <c r="G39" s="106" t="s">
        <v>28</v>
      </c>
      <c r="H39" s="106" t="s">
        <v>29</v>
      </c>
      <c r="I39" s="106" t="s">
        <v>41</v>
      </c>
      <c r="J39" s="106" t="s">
        <v>30</v>
      </c>
      <c r="K39" s="106" t="s">
        <v>31</v>
      </c>
      <c r="L39" s="106" t="s">
        <v>32</v>
      </c>
      <c r="M39" s="107" t="s">
        <v>33</v>
      </c>
      <c r="N39" s="107" t="s">
        <v>34</v>
      </c>
      <c r="O39" s="107" t="s">
        <v>35</v>
      </c>
      <c r="P39" s="107" t="s">
        <v>39</v>
      </c>
      <c r="Q39" s="108" t="s">
        <v>36</v>
      </c>
    </row>
    <row r="40" spans="1:17" ht="48">
      <c r="A40" s="42"/>
      <c r="B40" s="109">
        <v>1</v>
      </c>
      <c r="C40" s="56" t="s">
        <v>226</v>
      </c>
      <c r="D40" s="56" t="s">
        <v>530</v>
      </c>
      <c r="E40" s="110" t="s">
        <v>475</v>
      </c>
      <c r="F40" s="56" t="s">
        <v>76</v>
      </c>
      <c r="G40" s="56" t="s">
        <v>77</v>
      </c>
      <c r="H40" s="110" t="s">
        <v>476</v>
      </c>
      <c r="I40" s="110" t="s">
        <v>477</v>
      </c>
      <c r="J40" s="110"/>
      <c r="K40" s="111" t="s">
        <v>132</v>
      </c>
      <c r="L40" s="112"/>
      <c r="M40" s="127"/>
      <c r="N40" s="116"/>
      <c r="O40" s="128"/>
      <c r="P40" s="128"/>
      <c r="Q40" s="129"/>
    </row>
    <row r="41" spans="1:17" ht="36">
      <c r="A41" s="42"/>
      <c r="B41" s="109">
        <v>2</v>
      </c>
      <c r="C41" s="56" t="s">
        <v>226</v>
      </c>
      <c r="D41" s="56" t="s">
        <v>541</v>
      </c>
      <c r="E41" s="110" t="s">
        <v>475</v>
      </c>
      <c r="F41" s="56" t="s">
        <v>76</v>
      </c>
      <c r="G41" s="56" t="s">
        <v>77</v>
      </c>
      <c r="H41" s="110" t="s">
        <v>108</v>
      </c>
      <c r="I41" s="110" t="s">
        <v>478</v>
      </c>
      <c r="J41" s="111"/>
      <c r="K41" s="111" t="s">
        <v>137</v>
      </c>
      <c r="L41" s="112"/>
      <c r="M41" s="127"/>
      <c r="N41" s="116"/>
      <c r="O41" s="128"/>
      <c r="P41" s="128"/>
      <c r="Q41" s="129"/>
    </row>
    <row r="42" spans="1:17" ht="36">
      <c r="A42" s="42"/>
      <c r="B42" s="109">
        <v>3</v>
      </c>
      <c r="C42" s="56" t="s">
        <v>226</v>
      </c>
      <c r="D42" s="56" t="s">
        <v>542</v>
      </c>
      <c r="E42" s="110" t="s">
        <v>475</v>
      </c>
      <c r="F42" s="56" t="s">
        <v>76</v>
      </c>
      <c r="G42" s="56" t="s">
        <v>77</v>
      </c>
      <c r="H42" s="110" t="s">
        <v>108</v>
      </c>
      <c r="I42" s="110" t="s">
        <v>479</v>
      </c>
      <c r="J42" s="111" t="s">
        <v>109</v>
      </c>
      <c r="K42" s="111" t="s">
        <v>112</v>
      </c>
      <c r="L42" s="112"/>
      <c r="M42" s="127"/>
      <c r="N42" s="116"/>
      <c r="O42" s="128"/>
      <c r="P42" s="128"/>
      <c r="Q42" s="129"/>
    </row>
    <row r="43" spans="1:17" ht="36">
      <c r="A43" s="42"/>
      <c r="B43" s="109">
        <v>4</v>
      </c>
      <c r="C43" s="56" t="s">
        <v>226</v>
      </c>
      <c r="D43" s="56" t="s">
        <v>543</v>
      </c>
      <c r="E43" s="110" t="s">
        <v>475</v>
      </c>
      <c r="F43" s="56" t="s">
        <v>76</v>
      </c>
      <c r="G43" s="56" t="s">
        <v>77</v>
      </c>
      <c r="H43" s="110" t="s">
        <v>108</v>
      </c>
      <c r="I43" s="110" t="s">
        <v>480</v>
      </c>
      <c r="J43" s="111" t="s">
        <v>109</v>
      </c>
      <c r="K43" s="111" t="s">
        <v>113</v>
      </c>
      <c r="L43" s="112"/>
      <c r="M43" s="127"/>
      <c r="N43" s="116"/>
      <c r="O43" s="128"/>
      <c r="P43" s="128"/>
      <c r="Q43" s="129"/>
    </row>
    <row r="44" spans="1:17" ht="36">
      <c r="A44" s="42"/>
      <c r="B44" s="109">
        <v>5</v>
      </c>
      <c r="C44" s="56" t="s">
        <v>226</v>
      </c>
      <c r="D44" s="56" t="s">
        <v>544</v>
      </c>
      <c r="E44" s="110" t="s">
        <v>475</v>
      </c>
      <c r="F44" s="56" t="s">
        <v>76</v>
      </c>
      <c r="G44" s="56" t="s">
        <v>77</v>
      </c>
      <c r="H44" s="110" t="s">
        <v>114</v>
      </c>
      <c r="I44" s="110" t="s">
        <v>481</v>
      </c>
      <c r="J44" s="110" t="s">
        <v>470</v>
      </c>
      <c r="K44" s="111" t="s">
        <v>138</v>
      </c>
      <c r="L44" s="112"/>
      <c r="M44" s="127"/>
      <c r="N44" s="116"/>
      <c r="O44" s="128"/>
      <c r="P44" s="128"/>
      <c r="Q44" s="129"/>
    </row>
    <row r="45" spans="1:17" ht="36">
      <c r="A45" s="42"/>
      <c r="B45" s="109">
        <v>6</v>
      </c>
      <c r="C45" s="56" t="s">
        <v>226</v>
      </c>
      <c r="D45" s="56" t="s">
        <v>545</v>
      </c>
      <c r="E45" s="110" t="s">
        <v>475</v>
      </c>
      <c r="F45" s="56" t="s">
        <v>76</v>
      </c>
      <c r="G45" s="56" t="s">
        <v>77</v>
      </c>
      <c r="H45" s="110" t="s">
        <v>103</v>
      </c>
      <c r="I45" s="110" t="s">
        <v>482</v>
      </c>
      <c r="J45" s="110" t="s">
        <v>500</v>
      </c>
      <c r="K45" s="111" t="s">
        <v>139</v>
      </c>
      <c r="L45" s="112"/>
      <c r="M45" s="127"/>
      <c r="N45" s="116"/>
      <c r="O45" s="128"/>
      <c r="P45" s="128"/>
      <c r="Q45" s="129"/>
    </row>
    <row r="46" spans="1:17" ht="36">
      <c r="A46" s="42"/>
      <c r="B46" s="109">
        <v>7</v>
      </c>
      <c r="C46" s="56" t="s">
        <v>226</v>
      </c>
      <c r="D46" s="56" t="s">
        <v>531</v>
      </c>
      <c r="E46" s="110" t="s">
        <v>475</v>
      </c>
      <c r="F46" s="56" t="s">
        <v>76</v>
      </c>
      <c r="G46" s="56" t="s">
        <v>77</v>
      </c>
      <c r="H46" s="110" t="s">
        <v>103</v>
      </c>
      <c r="I46" s="110" t="s">
        <v>483</v>
      </c>
      <c r="J46" s="111" t="s">
        <v>117</v>
      </c>
      <c r="K46" s="141" t="s">
        <v>120</v>
      </c>
      <c r="L46" s="112"/>
      <c r="M46" s="127"/>
      <c r="N46" s="116"/>
      <c r="O46" s="128"/>
      <c r="P46" s="128"/>
      <c r="Q46" s="129"/>
    </row>
    <row r="47" spans="1:17" ht="36">
      <c r="A47" s="42"/>
      <c r="B47" s="109">
        <v>8</v>
      </c>
      <c r="C47" s="56" t="s">
        <v>226</v>
      </c>
      <c r="D47" s="56" t="s">
        <v>532</v>
      </c>
      <c r="E47" s="110" t="s">
        <v>475</v>
      </c>
      <c r="F47" s="56" t="s">
        <v>76</v>
      </c>
      <c r="G47" s="56" t="s">
        <v>77</v>
      </c>
      <c r="H47" s="110" t="s">
        <v>103</v>
      </c>
      <c r="I47" s="110" t="s">
        <v>484</v>
      </c>
      <c r="J47" s="111" t="s">
        <v>117</v>
      </c>
      <c r="K47" s="141" t="s">
        <v>121</v>
      </c>
      <c r="L47" s="112"/>
      <c r="M47" s="127"/>
      <c r="N47" s="116"/>
      <c r="O47" s="128"/>
      <c r="P47" s="128"/>
      <c r="Q47" s="129"/>
    </row>
    <row r="48" spans="1:17" ht="36">
      <c r="A48" s="42"/>
      <c r="B48" s="109">
        <v>9</v>
      </c>
      <c r="C48" s="56" t="s">
        <v>226</v>
      </c>
      <c r="D48" s="56" t="s">
        <v>533</v>
      </c>
      <c r="E48" s="110" t="s">
        <v>475</v>
      </c>
      <c r="F48" s="56" t="s">
        <v>76</v>
      </c>
      <c r="G48" s="56" t="s">
        <v>77</v>
      </c>
      <c r="H48" s="110" t="s">
        <v>115</v>
      </c>
      <c r="I48" s="110" t="s">
        <v>485</v>
      </c>
      <c r="J48" s="110" t="s">
        <v>470</v>
      </c>
      <c r="K48" s="111" t="s">
        <v>138</v>
      </c>
      <c r="L48" s="112"/>
      <c r="M48" s="127"/>
      <c r="N48" s="116"/>
      <c r="O48" s="128"/>
      <c r="P48" s="128"/>
      <c r="Q48" s="129"/>
    </row>
    <row r="49" spans="1:17" ht="36">
      <c r="A49" s="42"/>
      <c r="B49" s="109">
        <v>10</v>
      </c>
      <c r="C49" s="56" t="s">
        <v>226</v>
      </c>
      <c r="D49" s="56" t="s">
        <v>546</v>
      </c>
      <c r="E49" s="110" t="s">
        <v>475</v>
      </c>
      <c r="F49" s="56" t="s">
        <v>76</v>
      </c>
      <c r="G49" s="56" t="s">
        <v>77</v>
      </c>
      <c r="H49" s="110" t="s">
        <v>118</v>
      </c>
      <c r="I49" s="110" t="s">
        <v>486</v>
      </c>
      <c r="J49" s="110" t="s">
        <v>501</v>
      </c>
      <c r="K49" s="111" t="s">
        <v>140</v>
      </c>
      <c r="L49" s="112"/>
      <c r="M49" s="127"/>
      <c r="N49" s="116"/>
      <c r="O49" s="128"/>
      <c r="P49" s="128"/>
      <c r="Q49" s="129"/>
    </row>
    <row r="50" spans="1:17" ht="36">
      <c r="A50" s="42"/>
      <c r="B50" s="109">
        <v>11</v>
      </c>
      <c r="C50" s="56" t="s">
        <v>226</v>
      </c>
      <c r="D50" s="56" t="s">
        <v>547</v>
      </c>
      <c r="E50" s="110" t="s">
        <v>475</v>
      </c>
      <c r="F50" s="56" t="s">
        <v>76</v>
      </c>
      <c r="G50" s="56" t="s">
        <v>77</v>
      </c>
      <c r="H50" s="110" t="s">
        <v>118</v>
      </c>
      <c r="I50" s="110" t="s">
        <v>487</v>
      </c>
      <c r="J50" s="110" t="s">
        <v>501</v>
      </c>
      <c r="K50" s="111" t="s">
        <v>144</v>
      </c>
      <c r="L50" s="112"/>
      <c r="M50" s="127"/>
      <c r="N50" s="116"/>
      <c r="O50" s="128"/>
      <c r="P50" s="128"/>
      <c r="Q50" s="129"/>
    </row>
    <row r="51" spans="1:17" ht="36">
      <c r="A51" s="42"/>
      <c r="B51" s="109">
        <v>12</v>
      </c>
      <c r="C51" s="56" t="s">
        <v>226</v>
      </c>
      <c r="D51" s="56" t="s">
        <v>548</v>
      </c>
      <c r="E51" s="110" t="s">
        <v>475</v>
      </c>
      <c r="F51" s="56" t="s">
        <v>76</v>
      </c>
      <c r="G51" s="56" t="s">
        <v>77</v>
      </c>
      <c r="H51" s="110" t="s">
        <v>119</v>
      </c>
      <c r="I51" s="110" t="s">
        <v>488</v>
      </c>
      <c r="J51" s="110"/>
      <c r="K51" s="110" t="s">
        <v>116</v>
      </c>
      <c r="L51" s="112"/>
      <c r="M51" s="127"/>
      <c r="N51" s="116"/>
      <c r="O51" s="128"/>
      <c r="P51" s="128"/>
      <c r="Q51" s="129"/>
    </row>
    <row r="52" spans="1:17" ht="48">
      <c r="A52" s="42"/>
      <c r="B52" s="109">
        <v>13</v>
      </c>
      <c r="C52" s="56" t="s">
        <v>226</v>
      </c>
      <c r="D52" s="56" t="s">
        <v>549</v>
      </c>
      <c r="E52" s="110" t="s">
        <v>475</v>
      </c>
      <c r="F52" s="56" t="s">
        <v>48</v>
      </c>
      <c r="G52" s="56" t="s">
        <v>54</v>
      </c>
      <c r="H52" s="110" t="s">
        <v>476</v>
      </c>
      <c r="I52" s="110" t="s">
        <v>477</v>
      </c>
      <c r="J52" s="110"/>
      <c r="K52" s="111" t="s">
        <v>132</v>
      </c>
      <c r="L52" s="112"/>
      <c r="M52" s="127"/>
      <c r="N52" s="116"/>
      <c r="O52" s="128"/>
      <c r="P52" s="128"/>
      <c r="Q52" s="129"/>
    </row>
    <row r="53" spans="1:17" ht="36">
      <c r="A53" s="42"/>
      <c r="B53" s="109">
        <v>14</v>
      </c>
      <c r="C53" s="56" t="s">
        <v>226</v>
      </c>
      <c r="D53" s="56" t="s">
        <v>550</v>
      </c>
      <c r="E53" s="110" t="s">
        <v>475</v>
      </c>
      <c r="F53" s="56" t="s">
        <v>48</v>
      </c>
      <c r="G53" s="56" t="s">
        <v>54</v>
      </c>
      <c r="H53" s="110" t="s">
        <v>108</v>
      </c>
      <c r="I53" s="110" t="s">
        <v>478</v>
      </c>
      <c r="J53" s="111"/>
      <c r="K53" s="111" t="s">
        <v>137</v>
      </c>
      <c r="L53" s="112"/>
      <c r="M53" s="127"/>
      <c r="N53" s="116"/>
      <c r="O53" s="128"/>
      <c r="P53" s="128"/>
      <c r="Q53" s="129"/>
    </row>
    <row r="54" spans="1:17" ht="36">
      <c r="A54" s="42"/>
      <c r="B54" s="109">
        <v>15</v>
      </c>
      <c r="C54" s="56" t="s">
        <v>226</v>
      </c>
      <c r="D54" s="56" t="s">
        <v>551</v>
      </c>
      <c r="E54" s="110" t="s">
        <v>475</v>
      </c>
      <c r="F54" s="56" t="s">
        <v>48</v>
      </c>
      <c r="G54" s="56" t="s">
        <v>54</v>
      </c>
      <c r="H54" s="110" t="s">
        <v>108</v>
      </c>
      <c r="I54" s="110" t="s">
        <v>479</v>
      </c>
      <c r="J54" s="111" t="s">
        <v>109</v>
      </c>
      <c r="K54" s="111" t="s">
        <v>112</v>
      </c>
      <c r="L54" s="112"/>
      <c r="M54" s="127"/>
      <c r="N54" s="116"/>
      <c r="O54" s="128"/>
      <c r="P54" s="128"/>
      <c r="Q54" s="129"/>
    </row>
    <row r="55" spans="1:17" ht="36">
      <c r="A55" s="42"/>
      <c r="B55" s="109">
        <v>16</v>
      </c>
      <c r="C55" s="56" t="s">
        <v>226</v>
      </c>
      <c r="D55" s="56" t="s">
        <v>552</v>
      </c>
      <c r="E55" s="110" t="s">
        <v>475</v>
      </c>
      <c r="F55" s="56" t="s">
        <v>48</v>
      </c>
      <c r="G55" s="56" t="s">
        <v>54</v>
      </c>
      <c r="H55" s="110" t="s">
        <v>108</v>
      </c>
      <c r="I55" s="110" t="s">
        <v>480</v>
      </c>
      <c r="J55" s="111" t="s">
        <v>109</v>
      </c>
      <c r="K55" s="111" t="s">
        <v>113</v>
      </c>
      <c r="L55" s="112"/>
      <c r="M55" s="127"/>
      <c r="N55" s="116"/>
      <c r="O55" s="128"/>
      <c r="P55" s="128"/>
      <c r="Q55" s="129"/>
    </row>
    <row r="56" spans="1:17" ht="36">
      <c r="A56" s="42"/>
      <c r="B56" s="109">
        <v>17</v>
      </c>
      <c r="C56" s="56" t="s">
        <v>226</v>
      </c>
      <c r="D56" s="56" t="s">
        <v>553</v>
      </c>
      <c r="E56" s="110" t="s">
        <v>475</v>
      </c>
      <c r="F56" s="56" t="s">
        <v>48</v>
      </c>
      <c r="G56" s="56" t="s">
        <v>54</v>
      </c>
      <c r="H56" s="110" t="s">
        <v>114</v>
      </c>
      <c r="I56" s="110" t="s">
        <v>481</v>
      </c>
      <c r="J56" s="110" t="s">
        <v>470</v>
      </c>
      <c r="K56" s="111" t="s">
        <v>138</v>
      </c>
      <c r="L56" s="112"/>
      <c r="M56" s="127"/>
      <c r="N56" s="116"/>
      <c r="O56" s="128"/>
      <c r="P56" s="128"/>
      <c r="Q56" s="129"/>
    </row>
    <row r="57" spans="1:17" ht="36">
      <c r="A57" s="42"/>
      <c r="B57" s="109">
        <v>18</v>
      </c>
      <c r="C57" s="56" t="s">
        <v>226</v>
      </c>
      <c r="D57" s="56" t="s">
        <v>554</v>
      </c>
      <c r="E57" s="110" t="s">
        <v>475</v>
      </c>
      <c r="F57" s="56" t="s">
        <v>48</v>
      </c>
      <c r="G57" s="56" t="s">
        <v>54</v>
      </c>
      <c r="H57" s="110" t="s">
        <v>103</v>
      </c>
      <c r="I57" s="110" t="s">
        <v>482</v>
      </c>
      <c r="J57" s="110" t="s">
        <v>500</v>
      </c>
      <c r="K57" s="111" t="s">
        <v>139</v>
      </c>
      <c r="L57" s="112"/>
      <c r="M57" s="127"/>
      <c r="N57" s="116"/>
      <c r="O57" s="128"/>
      <c r="P57" s="128"/>
      <c r="Q57" s="129"/>
    </row>
    <row r="58" spans="1:17" ht="36">
      <c r="A58" s="42"/>
      <c r="B58" s="109">
        <v>19</v>
      </c>
      <c r="C58" s="56" t="s">
        <v>226</v>
      </c>
      <c r="D58" s="56" t="s">
        <v>555</v>
      </c>
      <c r="E58" s="110" t="s">
        <v>475</v>
      </c>
      <c r="F58" s="56" t="s">
        <v>48</v>
      </c>
      <c r="G58" s="56" t="s">
        <v>54</v>
      </c>
      <c r="H58" s="110" t="s">
        <v>103</v>
      </c>
      <c r="I58" s="110" t="s">
        <v>483</v>
      </c>
      <c r="J58" s="111" t="s">
        <v>117</v>
      </c>
      <c r="K58" s="141" t="s">
        <v>120</v>
      </c>
      <c r="L58" s="112"/>
      <c r="M58" s="127"/>
      <c r="N58" s="116"/>
      <c r="O58" s="128"/>
      <c r="P58" s="128"/>
      <c r="Q58" s="129"/>
    </row>
    <row r="59" spans="1:17" ht="36">
      <c r="A59" s="42"/>
      <c r="B59" s="109">
        <v>20</v>
      </c>
      <c r="C59" s="56" t="s">
        <v>226</v>
      </c>
      <c r="D59" s="56" t="s">
        <v>556</v>
      </c>
      <c r="E59" s="110" t="s">
        <v>475</v>
      </c>
      <c r="F59" s="56" t="s">
        <v>48</v>
      </c>
      <c r="G59" s="56" t="s">
        <v>54</v>
      </c>
      <c r="H59" s="110" t="s">
        <v>103</v>
      </c>
      <c r="I59" s="110" t="s">
        <v>484</v>
      </c>
      <c r="J59" s="111" t="s">
        <v>117</v>
      </c>
      <c r="K59" s="141" t="s">
        <v>121</v>
      </c>
      <c r="L59" s="98"/>
      <c r="M59" s="128"/>
      <c r="N59" s="116"/>
      <c r="O59" s="128"/>
      <c r="P59" s="128"/>
      <c r="Q59" s="129"/>
    </row>
    <row r="60" spans="1:17" ht="36">
      <c r="A60" s="42"/>
      <c r="B60" s="109">
        <v>21</v>
      </c>
      <c r="C60" s="56" t="s">
        <v>226</v>
      </c>
      <c r="D60" s="56" t="s">
        <v>557</v>
      </c>
      <c r="E60" s="110" t="s">
        <v>475</v>
      </c>
      <c r="F60" s="56" t="s">
        <v>48</v>
      </c>
      <c r="G60" s="56" t="s">
        <v>54</v>
      </c>
      <c r="H60" s="110" t="s">
        <v>115</v>
      </c>
      <c r="I60" s="110" t="s">
        <v>485</v>
      </c>
      <c r="J60" s="110" t="s">
        <v>470</v>
      </c>
      <c r="K60" s="111" t="s">
        <v>138</v>
      </c>
      <c r="L60" s="114"/>
      <c r="M60" s="131"/>
      <c r="N60" s="116"/>
      <c r="O60" s="128"/>
      <c r="P60" s="128"/>
      <c r="Q60" s="129"/>
    </row>
    <row r="61" spans="1:17" ht="36">
      <c r="A61" s="42"/>
      <c r="B61" s="109">
        <v>22</v>
      </c>
      <c r="C61" s="56" t="s">
        <v>226</v>
      </c>
      <c r="D61" s="56" t="s">
        <v>558</v>
      </c>
      <c r="E61" s="110" t="s">
        <v>475</v>
      </c>
      <c r="F61" s="56" t="s">
        <v>48</v>
      </c>
      <c r="G61" s="56" t="s">
        <v>54</v>
      </c>
      <c r="H61" s="110" t="s">
        <v>118</v>
      </c>
      <c r="I61" s="110" t="s">
        <v>486</v>
      </c>
      <c r="J61" s="110" t="s">
        <v>501</v>
      </c>
      <c r="K61" s="111" t="s">
        <v>140</v>
      </c>
      <c r="L61" s="114"/>
      <c r="M61" s="131"/>
      <c r="N61" s="116"/>
      <c r="O61" s="128"/>
      <c r="P61" s="128"/>
      <c r="Q61" s="129"/>
    </row>
    <row r="62" spans="1:17" ht="36">
      <c r="A62" s="42"/>
      <c r="B62" s="109">
        <v>23</v>
      </c>
      <c r="C62" s="56" t="s">
        <v>226</v>
      </c>
      <c r="D62" s="56" t="s">
        <v>559</v>
      </c>
      <c r="E62" s="110" t="s">
        <v>475</v>
      </c>
      <c r="F62" s="56" t="s">
        <v>48</v>
      </c>
      <c r="G62" s="56" t="s">
        <v>54</v>
      </c>
      <c r="H62" s="110" t="s">
        <v>118</v>
      </c>
      <c r="I62" s="110" t="s">
        <v>487</v>
      </c>
      <c r="J62" s="110" t="s">
        <v>501</v>
      </c>
      <c r="K62" s="111" t="s">
        <v>144</v>
      </c>
      <c r="L62" s="114"/>
      <c r="M62" s="131"/>
      <c r="N62" s="116"/>
      <c r="O62" s="128"/>
      <c r="P62" s="128"/>
      <c r="Q62" s="129"/>
    </row>
    <row r="63" spans="1:17" ht="36">
      <c r="A63" s="42"/>
      <c r="B63" s="109">
        <v>24</v>
      </c>
      <c r="C63" s="56" t="s">
        <v>226</v>
      </c>
      <c r="D63" s="56" t="s">
        <v>560</v>
      </c>
      <c r="E63" s="110" t="s">
        <v>475</v>
      </c>
      <c r="F63" s="56" t="s">
        <v>48</v>
      </c>
      <c r="G63" s="56" t="s">
        <v>54</v>
      </c>
      <c r="H63" s="110" t="s">
        <v>119</v>
      </c>
      <c r="I63" s="110" t="s">
        <v>488</v>
      </c>
      <c r="J63" s="110"/>
      <c r="K63" s="110" t="s">
        <v>116</v>
      </c>
      <c r="L63" s="114"/>
      <c r="M63" s="131"/>
      <c r="N63" s="116"/>
      <c r="O63" s="128"/>
      <c r="P63" s="128"/>
      <c r="Q63" s="129"/>
    </row>
    <row r="64" spans="1:17" ht="48">
      <c r="A64" s="42"/>
      <c r="B64" s="109">
        <v>25</v>
      </c>
      <c r="C64" s="56" t="s">
        <v>244</v>
      </c>
      <c r="D64" s="56" t="s">
        <v>561</v>
      </c>
      <c r="E64" s="110" t="s">
        <v>475</v>
      </c>
      <c r="F64" s="56" t="s">
        <v>59</v>
      </c>
      <c r="G64" s="56" t="s">
        <v>54</v>
      </c>
      <c r="H64" s="110" t="s">
        <v>476</v>
      </c>
      <c r="I64" s="110" t="s">
        <v>477</v>
      </c>
      <c r="J64" s="110"/>
      <c r="K64" s="111" t="s">
        <v>132</v>
      </c>
      <c r="L64" s="114"/>
      <c r="M64" s="131"/>
      <c r="N64" s="116"/>
      <c r="O64" s="128"/>
      <c r="P64" s="128"/>
      <c r="Q64" s="129"/>
    </row>
    <row r="65" spans="1:17" ht="36">
      <c r="A65" s="42"/>
      <c r="B65" s="109">
        <v>26</v>
      </c>
      <c r="C65" s="56" t="s">
        <v>244</v>
      </c>
      <c r="D65" s="56" t="s">
        <v>562</v>
      </c>
      <c r="E65" s="110" t="s">
        <v>475</v>
      </c>
      <c r="F65" s="56" t="s">
        <v>59</v>
      </c>
      <c r="G65" s="56" t="s">
        <v>54</v>
      </c>
      <c r="H65" s="110" t="s">
        <v>108</v>
      </c>
      <c r="I65" s="110" t="s">
        <v>478</v>
      </c>
      <c r="J65" s="111"/>
      <c r="K65" s="111" t="s">
        <v>137</v>
      </c>
      <c r="L65" s="114"/>
      <c r="M65" s="131"/>
      <c r="N65" s="116"/>
      <c r="O65" s="128"/>
      <c r="P65" s="128"/>
      <c r="Q65" s="129"/>
    </row>
    <row r="66" spans="1:17" ht="36">
      <c r="A66" s="42"/>
      <c r="B66" s="109">
        <v>27</v>
      </c>
      <c r="C66" s="56" t="s">
        <v>244</v>
      </c>
      <c r="D66" s="56" t="s">
        <v>563</v>
      </c>
      <c r="E66" s="110" t="s">
        <v>475</v>
      </c>
      <c r="F66" s="56" t="s">
        <v>59</v>
      </c>
      <c r="G66" s="56" t="s">
        <v>54</v>
      </c>
      <c r="H66" s="110" t="s">
        <v>108</v>
      </c>
      <c r="I66" s="110" t="s">
        <v>479</v>
      </c>
      <c r="J66" s="111" t="s">
        <v>109</v>
      </c>
      <c r="K66" s="111" t="s">
        <v>112</v>
      </c>
      <c r="L66" s="114"/>
      <c r="M66" s="131"/>
      <c r="N66" s="116"/>
      <c r="O66" s="128"/>
      <c r="P66" s="128"/>
      <c r="Q66" s="129"/>
    </row>
    <row r="67" spans="1:17" ht="36">
      <c r="A67" s="42"/>
      <c r="B67" s="109">
        <v>28</v>
      </c>
      <c r="C67" s="56" t="s">
        <v>244</v>
      </c>
      <c r="D67" s="56" t="s">
        <v>564</v>
      </c>
      <c r="E67" s="110" t="s">
        <v>475</v>
      </c>
      <c r="F67" s="56" t="s">
        <v>59</v>
      </c>
      <c r="G67" s="56" t="s">
        <v>54</v>
      </c>
      <c r="H67" s="110" t="s">
        <v>108</v>
      </c>
      <c r="I67" s="110" t="s">
        <v>480</v>
      </c>
      <c r="J67" s="111" t="s">
        <v>109</v>
      </c>
      <c r="K67" s="111" t="s">
        <v>113</v>
      </c>
      <c r="L67" s="114"/>
      <c r="M67" s="131"/>
      <c r="N67" s="116"/>
      <c r="O67" s="128"/>
      <c r="P67" s="128"/>
      <c r="Q67" s="129"/>
    </row>
    <row r="68" spans="1:17" ht="36">
      <c r="A68" s="42"/>
      <c r="B68" s="109">
        <v>29</v>
      </c>
      <c r="C68" s="56" t="s">
        <v>244</v>
      </c>
      <c r="D68" s="56" t="s">
        <v>565</v>
      </c>
      <c r="E68" s="110" t="s">
        <v>475</v>
      </c>
      <c r="F68" s="56" t="s">
        <v>59</v>
      </c>
      <c r="G68" s="56" t="s">
        <v>54</v>
      </c>
      <c r="H68" s="110" t="s">
        <v>114</v>
      </c>
      <c r="I68" s="110" t="s">
        <v>481</v>
      </c>
      <c r="J68" s="110" t="s">
        <v>470</v>
      </c>
      <c r="K68" s="111" t="s">
        <v>138</v>
      </c>
      <c r="L68" s="114"/>
      <c r="M68" s="131"/>
      <c r="N68" s="116"/>
      <c r="O68" s="128"/>
      <c r="P68" s="128"/>
      <c r="Q68" s="129"/>
    </row>
    <row r="69" spans="1:17" ht="36">
      <c r="A69" s="42"/>
      <c r="B69" s="109">
        <v>30</v>
      </c>
      <c r="C69" s="56" t="s">
        <v>244</v>
      </c>
      <c r="D69" s="56" t="s">
        <v>672</v>
      </c>
      <c r="E69" s="110" t="s">
        <v>475</v>
      </c>
      <c r="F69" s="56" t="s">
        <v>59</v>
      </c>
      <c r="G69" s="56" t="s">
        <v>54</v>
      </c>
      <c r="H69" s="110" t="s">
        <v>103</v>
      </c>
      <c r="I69" s="110" t="s">
        <v>482</v>
      </c>
      <c r="J69" s="110" t="s">
        <v>500</v>
      </c>
      <c r="K69" s="111" t="s">
        <v>139</v>
      </c>
      <c r="L69" s="114"/>
      <c r="M69" s="131"/>
      <c r="N69" s="116"/>
      <c r="O69" s="128"/>
      <c r="P69" s="128"/>
      <c r="Q69" s="129"/>
    </row>
    <row r="70" spans="1:17" ht="36">
      <c r="A70" s="42"/>
      <c r="B70" s="109">
        <v>31</v>
      </c>
      <c r="C70" s="56" t="s">
        <v>244</v>
      </c>
      <c r="D70" s="56" t="s">
        <v>673</v>
      </c>
      <c r="E70" s="110" t="s">
        <v>475</v>
      </c>
      <c r="F70" s="56" t="s">
        <v>59</v>
      </c>
      <c r="G70" s="56" t="s">
        <v>54</v>
      </c>
      <c r="H70" s="110" t="s">
        <v>103</v>
      </c>
      <c r="I70" s="110" t="s">
        <v>483</v>
      </c>
      <c r="J70" s="111" t="s">
        <v>117</v>
      </c>
      <c r="K70" s="141" t="s">
        <v>120</v>
      </c>
      <c r="L70" s="114"/>
      <c r="M70" s="131"/>
      <c r="N70" s="116"/>
      <c r="O70" s="128"/>
      <c r="P70" s="128"/>
      <c r="Q70" s="129"/>
    </row>
    <row r="71" spans="1:17" ht="36">
      <c r="A71" s="42"/>
      <c r="B71" s="109">
        <v>32</v>
      </c>
      <c r="C71" s="56" t="s">
        <v>244</v>
      </c>
      <c r="D71" s="56" t="s">
        <v>674</v>
      </c>
      <c r="E71" s="110" t="s">
        <v>475</v>
      </c>
      <c r="F71" s="56" t="s">
        <v>59</v>
      </c>
      <c r="G71" s="56" t="s">
        <v>54</v>
      </c>
      <c r="H71" s="110" t="s">
        <v>103</v>
      </c>
      <c r="I71" s="110" t="s">
        <v>484</v>
      </c>
      <c r="J71" s="111" t="s">
        <v>117</v>
      </c>
      <c r="K71" s="141" t="s">
        <v>121</v>
      </c>
      <c r="L71" s="114"/>
      <c r="M71" s="131"/>
      <c r="N71" s="116"/>
      <c r="O71" s="128"/>
      <c r="P71" s="128"/>
      <c r="Q71" s="129"/>
    </row>
    <row r="72" spans="1:17" ht="36">
      <c r="A72" s="42"/>
      <c r="B72" s="109">
        <v>33</v>
      </c>
      <c r="C72" s="56" t="s">
        <v>244</v>
      </c>
      <c r="D72" s="56" t="s">
        <v>675</v>
      </c>
      <c r="E72" s="110" t="s">
        <v>475</v>
      </c>
      <c r="F72" s="56" t="s">
        <v>59</v>
      </c>
      <c r="G72" s="56" t="s">
        <v>54</v>
      </c>
      <c r="H72" s="110" t="s">
        <v>115</v>
      </c>
      <c r="I72" s="110" t="s">
        <v>485</v>
      </c>
      <c r="J72" s="110" t="s">
        <v>470</v>
      </c>
      <c r="K72" s="111" t="s">
        <v>138</v>
      </c>
      <c r="L72" s="114"/>
      <c r="M72" s="131"/>
      <c r="N72" s="116"/>
      <c r="O72" s="128"/>
      <c r="P72" s="128"/>
      <c r="Q72" s="129"/>
    </row>
    <row r="73" spans="1:17" ht="36">
      <c r="A73" s="42"/>
      <c r="B73" s="109">
        <v>34</v>
      </c>
      <c r="C73" s="56" t="s">
        <v>244</v>
      </c>
      <c r="D73" s="56" t="s">
        <v>676</v>
      </c>
      <c r="E73" s="110" t="s">
        <v>475</v>
      </c>
      <c r="F73" s="56" t="s">
        <v>59</v>
      </c>
      <c r="G73" s="56" t="s">
        <v>54</v>
      </c>
      <c r="H73" s="110" t="s">
        <v>118</v>
      </c>
      <c r="I73" s="110" t="s">
        <v>486</v>
      </c>
      <c r="J73" s="110" t="s">
        <v>501</v>
      </c>
      <c r="K73" s="111" t="s">
        <v>140</v>
      </c>
      <c r="L73" s="114"/>
      <c r="M73" s="131"/>
      <c r="N73" s="116"/>
      <c r="O73" s="128"/>
      <c r="P73" s="128"/>
      <c r="Q73" s="129"/>
    </row>
    <row r="74" spans="1:17" ht="36">
      <c r="A74" s="42"/>
      <c r="B74" s="109">
        <v>35</v>
      </c>
      <c r="C74" s="56" t="s">
        <v>244</v>
      </c>
      <c r="D74" s="56" t="s">
        <v>677</v>
      </c>
      <c r="E74" s="110" t="s">
        <v>475</v>
      </c>
      <c r="F74" s="56" t="s">
        <v>59</v>
      </c>
      <c r="G74" s="56" t="s">
        <v>54</v>
      </c>
      <c r="H74" s="110" t="s">
        <v>118</v>
      </c>
      <c r="I74" s="110" t="s">
        <v>487</v>
      </c>
      <c r="J74" s="110" t="s">
        <v>501</v>
      </c>
      <c r="K74" s="111" t="s">
        <v>144</v>
      </c>
      <c r="L74" s="114"/>
      <c r="M74" s="131"/>
      <c r="N74" s="116"/>
      <c r="O74" s="128"/>
      <c r="P74" s="128"/>
      <c r="Q74" s="129"/>
    </row>
    <row r="75" spans="1:17" ht="36">
      <c r="A75" s="42"/>
      <c r="B75" s="109">
        <v>36</v>
      </c>
      <c r="C75" s="56" t="s">
        <v>244</v>
      </c>
      <c r="D75" s="56" t="s">
        <v>678</v>
      </c>
      <c r="E75" s="110" t="s">
        <v>475</v>
      </c>
      <c r="F75" s="56" t="s">
        <v>59</v>
      </c>
      <c r="G75" s="56" t="s">
        <v>54</v>
      </c>
      <c r="H75" s="110" t="s">
        <v>119</v>
      </c>
      <c r="I75" s="110" t="s">
        <v>488</v>
      </c>
      <c r="J75" s="110"/>
      <c r="K75" s="110" t="s">
        <v>116</v>
      </c>
      <c r="L75" s="114"/>
      <c r="M75" s="131"/>
      <c r="N75" s="116"/>
      <c r="O75" s="128"/>
      <c r="P75" s="128"/>
      <c r="Q75" s="129"/>
    </row>
    <row r="76" spans="1:17" ht="48">
      <c r="A76" s="42"/>
      <c r="B76" s="109">
        <v>37</v>
      </c>
      <c r="C76" s="56" t="s">
        <v>244</v>
      </c>
      <c r="D76" s="56" t="s">
        <v>679</v>
      </c>
      <c r="E76" s="110" t="s">
        <v>475</v>
      </c>
      <c r="F76" s="56" t="s">
        <v>48</v>
      </c>
      <c r="G76" s="56" t="s">
        <v>54</v>
      </c>
      <c r="H76" s="110" t="s">
        <v>476</v>
      </c>
      <c r="I76" s="110" t="s">
        <v>477</v>
      </c>
      <c r="J76" s="110"/>
      <c r="K76" s="111" t="s">
        <v>132</v>
      </c>
      <c r="L76" s="114"/>
      <c r="M76" s="131"/>
      <c r="N76" s="116"/>
      <c r="O76" s="128"/>
      <c r="P76" s="128"/>
      <c r="Q76" s="129"/>
    </row>
    <row r="77" spans="1:17" ht="36">
      <c r="A77" s="42"/>
      <c r="B77" s="109">
        <v>38</v>
      </c>
      <c r="C77" s="56" t="s">
        <v>244</v>
      </c>
      <c r="D77" s="56" t="s">
        <v>680</v>
      </c>
      <c r="E77" s="110" t="s">
        <v>475</v>
      </c>
      <c r="F77" s="56" t="s">
        <v>48</v>
      </c>
      <c r="G77" s="56" t="s">
        <v>54</v>
      </c>
      <c r="H77" s="110" t="s">
        <v>108</v>
      </c>
      <c r="I77" s="110" t="s">
        <v>478</v>
      </c>
      <c r="J77" s="111"/>
      <c r="K77" s="111" t="s">
        <v>137</v>
      </c>
      <c r="L77" s="114"/>
      <c r="M77" s="131"/>
      <c r="N77" s="116"/>
      <c r="O77" s="128"/>
      <c r="P77" s="128"/>
      <c r="Q77" s="129"/>
    </row>
    <row r="78" spans="1:17" ht="36">
      <c r="A78" s="42"/>
      <c r="B78" s="109">
        <v>39</v>
      </c>
      <c r="C78" s="56" t="s">
        <v>244</v>
      </c>
      <c r="D78" s="56" t="s">
        <v>681</v>
      </c>
      <c r="E78" s="110" t="s">
        <v>475</v>
      </c>
      <c r="F78" s="56" t="s">
        <v>48</v>
      </c>
      <c r="G78" s="56" t="s">
        <v>54</v>
      </c>
      <c r="H78" s="110" t="s">
        <v>108</v>
      </c>
      <c r="I78" s="110" t="s">
        <v>479</v>
      </c>
      <c r="J78" s="111" t="s">
        <v>109</v>
      </c>
      <c r="K78" s="111" t="s">
        <v>112</v>
      </c>
      <c r="L78" s="114"/>
      <c r="M78" s="131"/>
      <c r="N78" s="116"/>
      <c r="O78" s="128"/>
      <c r="P78" s="128"/>
      <c r="Q78" s="129"/>
    </row>
    <row r="79" spans="1:17" ht="36">
      <c r="A79" s="42"/>
      <c r="B79" s="109">
        <v>40</v>
      </c>
      <c r="C79" s="56" t="s">
        <v>244</v>
      </c>
      <c r="D79" s="56" t="s">
        <v>682</v>
      </c>
      <c r="E79" s="110" t="s">
        <v>475</v>
      </c>
      <c r="F79" s="56" t="s">
        <v>48</v>
      </c>
      <c r="G79" s="56" t="s">
        <v>54</v>
      </c>
      <c r="H79" s="110" t="s">
        <v>108</v>
      </c>
      <c r="I79" s="110" t="s">
        <v>480</v>
      </c>
      <c r="J79" s="111" t="s">
        <v>109</v>
      </c>
      <c r="K79" s="111" t="s">
        <v>113</v>
      </c>
      <c r="L79" s="114"/>
      <c r="M79" s="131"/>
      <c r="N79" s="116"/>
      <c r="O79" s="128"/>
      <c r="P79" s="128"/>
      <c r="Q79" s="129"/>
    </row>
    <row r="80" spans="1:17" ht="36">
      <c r="A80" s="42"/>
      <c r="B80" s="109">
        <v>41</v>
      </c>
      <c r="C80" s="56" t="s">
        <v>244</v>
      </c>
      <c r="D80" s="56" t="s">
        <v>683</v>
      </c>
      <c r="E80" s="110" t="s">
        <v>475</v>
      </c>
      <c r="F80" s="56" t="s">
        <v>48</v>
      </c>
      <c r="G80" s="56" t="s">
        <v>54</v>
      </c>
      <c r="H80" s="110" t="s">
        <v>114</v>
      </c>
      <c r="I80" s="110" t="s">
        <v>481</v>
      </c>
      <c r="J80" s="110" t="s">
        <v>470</v>
      </c>
      <c r="K80" s="111" t="s">
        <v>138</v>
      </c>
      <c r="L80" s="114"/>
      <c r="M80" s="131"/>
      <c r="N80" s="116"/>
      <c r="O80" s="128"/>
      <c r="P80" s="128"/>
      <c r="Q80" s="129"/>
    </row>
    <row r="81" spans="1:17" ht="36">
      <c r="A81" s="42"/>
      <c r="B81" s="109">
        <v>42</v>
      </c>
      <c r="C81" s="56" t="s">
        <v>244</v>
      </c>
      <c r="D81" s="56" t="s">
        <v>684</v>
      </c>
      <c r="E81" s="110" t="s">
        <v>475</v>
      </c>
      <c r="F81" s="56" t="s">
        <v>48</v>
      </c>
      <c r="G81" s="56" t="s">
        <v>54</v>
      </c>
      <c r="H81" s="110" t="s">
        <v>103</v>
      </c>
      <c r="I81" s="110" t="s">
        <v>482</v>
      </c>
      <c r="J81" s="110" t="s">
        <v>500</v>
      </c>
      <c r="K81" s="111" t="s">
        <v>139</v>
      </c>
      <c r="L81" s="114"/>
      <c r="M81" s="131"/>
      <c r="N81" s="116"/>
      <c r="O81" s="128"/>
      <c r="P81" s="128"/>
      <c r="Q81" s="129"/>
    </row>
    <row r="82" spans="1:17" ht="36">
      <c r="A82" s="42"/>
      <c r="B82" s="109">
        <v>43</v>
      </c>
      <c r="C82" s="56" t="s">
        <v>244</v>
      </c>
      <c r="D82" s="56" t="s">
        <v>685</v>
      </c>
      <c r="E82" s="110" t="s">
        <v>475</v>
      </c>
      <c r="F82" s="56" t="s">
        <v>48</v>
      </c>
      <c r="G82" s="56" t="s">
        <v>54</v>
      </c>
      <c r="H82" s="110" t="s">
        <v>103</v>
      </c>
      <c r="I82" s="110" t="s">
        <v>483</v>
      </c>
      <c r="J82" s="111" t="s">
        <v>117</v>
      </c>
      <c r="K82" s="141" t="s">
        <v>120</v>
      </c>
      <c r="L82" s="114"/>
      <c r="M82" s="131"/>
      <c r="N82" s="116"/>
      <c r="O82" s="128"/>
      <c r="P82" s="128"/>
      <c r="Q82" s="129"/>
    </row>
    <row r="83" spans="1:17" ht="36">
      <c r="A83" s="42"/>
      <c r="B83" s="109">
        <v>44</v>
      </c>
      <c r="C83" s="56" t="s">
        <v>244</v>
      </c>
      <c r="D83" s="56" t="s">
        <v>686</v>
      </c>
      <c r="E83" s="110" t="s">
        <v>475</v>
      </c>
      <c r="F83" s="56" t="s">
        <v>48</v>
      </c>
      <c r="G83" s="56" t="s">
        <v>54</v>
      </c>
      <c r="H83" s="110" t="s">
        <v>103</v>
      </c>
      <c r="I83" s="110" t="s">
        <v>484</v>
      </c>
      <c r="J83" s="111" t="s">
        <v>117</v>
      </c>
      <c r="K83" s="141" t="s">
        <v>121</v>
      </c>
      <c r="L83" s="114"/>
      <c r="M83" s="131"/>
      <c r="N83" s="116"/>
      <c r="O83" s="128"/>
      <c r="P83" s="128"/>
      <c r="Q83" s="129"/>
    </row>
    <row r="84" spans="1:17" ht="36">
      <c r="A84" s="42"/>
      <c r="B84" s="109">
        <v>45</v>
      </c>
      <c r="C84" s="56" t="s">
        <v>244</v>
      </c>
      <c r="D84" s="56" t="s">
        <v>687</v>
      </c>
      <c r="E84" s="110" t="s">
        <v>475</v>
      </c>
      <c r="F84" s="56" t="s">
        <v>48</v>
      </c>
      <c r="G84" s="56" t="s">
        <v>54</v>
      </c>
      <c r="H84" s="110" t="s">
        <v>115</v>
      </c>
      <c r="I84" s="110" t="s">
        <v>485</v>
      </c>
      <c r="J84" s="110" t="s">
        <v>470</v>
      </c>
      <c r="K84" s="111" t="s">
        <v>138</v>
      </c>
      <c r="L84" s="114"/>
      <c r="M84" s="131"/>
      <c r="N84" s="116"/>
      <c r="O84" s="128"/>
      <c r="P84" s="128"/>
      <c r="Q84" s="129"/>
    </row>
    <row r="85" spans="1:17" ht="36">
      <c r="A85" s="42"/>
      <c r="B85" s="109">
        <v>46</v>
      </c>
      <c r="C85" s="56" t="s">
        <v>244</v>
      </c>
      <c r="D85" s="56" t="s">
        <v>688</v>
      </c>
      <c r="E85" s="110" t="s">
        <v>475</v>
      </c>
      <c r="F85" s="56" t="s">
        <v>48</v>
      </c>
      <c r="G85" s="56" t="s">
        <v>54</v>
      </c>
      <c r="H85" s="110" t="s">
        <v>118</v>
      </c>
      <c r="I85" s="110" t="s">
        <v>486</v>
      </c>
      <c r="J85" s="110" t="s">
        <v>501</v>
      </c>
      <c r="K85" s="111" t="s">
        <v>140</v>
      </c>
      <c r="L85" s="114"/>
      <c r="M85" s="131"/>
      <c r="N85" s="116"/>
      <c r="O85" s="128"/>
      <c r="P85" s="128"/>
      <c r="Q85" s="129"/>
    </row>
    <row r="86" spans="1:17" ht="36">
      <c r="A86" s="42"/>
      <c r="B86" s="109">
        <v>47</v>
      </c>
      <c r="C86" s="56" t="s">
        <v>244</v>
      </c>
      <c r="D86" s="56" t="s">
        <v>689</v>
      </c>
      <c r="E86" s="110" t="s">
        <v>475</v>
      </c>
      <c r="F86" s="56" t="s">
        <v>48</v>
      </c>
      <c r="G86" s="56" t="s">
        <v>54</v>
      </c>
      <c r="H86" s="110" t="s">
        <v>118</v>
      </c>
      <c r="I86" s="110" t="s">
        <v>487</v>
      </c>
      <c r="J86" s="110" t="s">
        <v>501</v>
      </c>
      <c r="K86" s="111" t="s">
        <v>144</v>
      </c>
      <c r="L86" s="114"/>
      <c r="M86" s="131"/>
      <c r="N86" s="116"/>
      <c r="O86" s="128"/>
      <c r="P86" s="128"/>
      <c r="Q86" s="129"/>
    </row>
    <row r="87" spans="1:17" ht="36">
      <c r="A87" s="42"/>
      <c r="B87" s="118">
        <v>48</v>
      </c>
      <c r="C87" s="56" t="s">
        <v>244</v>
      </c>
      <c r="D87" s="119" t="s">
        <v>690</v>
      </c>
      <c r="E87" s="137" t="s">
        <v>475</v>
      </c>
      <c r="F87" s="119" t="s">
        <v>48</v>
      </c>
      <c r="G87" s="119" t="s">
        <v>54</v>
      </c>
      <c r="H87" s="137" t="s">
        <v>119</v>
      </c>
      <c r="I87" s="137" t="s">
        <v>488</v>
      </c>
      <c r="J87" s="137"/>
      <c r="K87" s="137" t="s">
        <v>116</v>
      </c>
      <c r="L87" s="124"/>
      <c r="M87" s="134"/>
      <c r="N87" s="116"/>
      <c r="O87" s="135"/>
      <c r="P87" s="135"/>
      <c r="Q87" s="136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87" xr:uid="{5F101851-F09D-419B-AB70-123B1B50EF6C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2" fitToHeight="3" orientation="landscape" verticalDpi="4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C4D0-3A3E-4F0C-B1C9-2D3A1432B9EE}">
  <sheetPr>
    <pageSetUpPr fitToPage="1"/>
  </sheetPr>
  <dimension ref="A1:R68"/>
  <sheetViews>
    <sheetView zoomScaleNormal="100" workbookViewId="0">
      <selection activeCell="N43" sqref="N43"/>
    </sheetView>
  </sheetViews>
  <sheetFormatPr defaultColWidth="8.88671875" defaultRowHeight="13.5"/>
  <cols>
    <col min="1" max="1" width="2.6640625" style="36" customWidth="1"/>
    <col min="2" max="2" width="5.44140625" style="38" customWidth="1"/>
    <col min="3" max="4" width="10.21875" style="38" customWidth="1"/>
    <col min="5" max="5" width="13.6640625" style="38" customWidth="1"/>
    <col min="6" max="7" width="5.6640625" style="38" customWidth="1"/>
    <col min="8" max="8" width="15.6640625" style="38" customWidth="1"/>
    <col min="9" max="9" width="25.6640625" style="38" customWidth="1"/>
    <col min="10" max="10" width="15.6640625" style="36" customWidth="1"/>
    <col min="11" max="11" width="32" style="36" customWidth="1"/>
    <col min="12" max="13" width="8.6640625" style="36" customWidth="1"/>
    <col min="14" max="14" width="9.109375" style="38" customWidth="1"/>
    <col min="15" max="15" width="30.6640625" style="36" customWidth="1"/>
    <col min="16" max="16" width="10.5546875" style="36" bestFit="1" customWidth="1"/>
    <col min="17" max="16384" width="8.88671875" style="36"/>
  </cols>
  <sheetData>
    <row r="1" spans="1:16" ht="66" customHeight="1">
      <c r="B1" s="37"/>
      <c r="C1" s="37"/>
      <c r="D1" s="37"/>
      <c r="E1" s="37"/>
    </row>
    <row r="2" spans="1:16" ht="59.65" customHeight="1">
      <c r="B2" s="59" t="s">
        <v>210</v>
      </c>
      <c r="C2" s="88" t="s">
        <v>207</v>
      </c>
      <c r="D2" s="89"/>
      <c r="E2" s="89"/>
      <c r="F2" s="89"/>
      <c r="G2" s="89"/>
      <c r="H2" s="89"/>
      <c r="I2" s="89"/>
      <c r="J2" s="89"/>
      <c r="K2" s="90"/>
      <c r="L2" s="27"/>
      <c r="M2" s="45"/>
      <c r="N2" s="160"/>
      <c r="O2" s="45"/>
      <c r="P2" s="45"/>
    </row>
    <row r="3" spans="1:16" ht="7.5" customHeight="1">
      <c r="B3" s="31"/>
      <c r="C3" s="31"/>
      <c r="D3" s="31"/>
      <c r="E3" s="31"/>
      <c r="F3" s="60"/>
      <c r="G3" s="60"/>
      <c r="H3" s="60"/>
      <c r="I3" s="60"/>
      <c r="J3" s="32"/>
      <c r="K3" s="32"/>
      <c r="L3" s="25"/>
    </row>
    <row r="4" spans="1:16">
      <c r="A4" s="42"/>
      <c r="B4" s="93" t="s">
        <v>37</v>
      </c>
      <c r="C4" s="93"/>
      <c r="D4" s="93"/>
      <c r="E4" s="93"/>
      <c r="F4" s="93"/>
      <c r="G4" s="93"/>
      <c r="H4" s="93"/>
      <c r="I4" s="93"/>
      <c r="J4" s="93"/>
      <c r="K4" s="93"/>
      <c r="L4" s="29"/>
    </row>
    <row r="5" spans="1:16" s="45" customFormat="1">
      <c r="A5" s="44"/>
      <c r="B5" s="94"/>
      <c r="C5" s="94"/>
      <c r="D5" s="94"/>
      <c r="E5" s="94"/>
      <c r="F5" s="94"/>
      <c r="G5" s="94"/>
      <c r="H5" s="94"/>
      <c r="I5" s="94"/>
      <c r="J5" s="94"/>
      <c r="K5" s="94"/>
      <c r="L5" s="30"/>
      <c r="N5" s="160"/>
    </row>
    <row r="6" spans="1:16" s="45" customFormat="1">
      <c r="A6" s="44"/>
      <c r="B6" s="94"/>
      <c r="C6" s="94"/>
      <c r="D6" s="94"/>
      <c r="E6" s="94"/>
      <c r="F6" s="94"/>
      <c r="G6" s="94"/>
      <c r="H6" s="94"/>
      <c r="I6" s="94"/>
      <c r="J6" s="94"/>
      <c r="K6" s="94"/>
      <c r="L6" s="30"/>
      <c r="N6" s="160"/>
    </row>
    <row r="7" spans="1:16" s="45" customFormat="1">
      <c r="A7" s="44"/>
      <c r="B7" s="94"/>
      <c r="C7" s="94"/>
      <c r="D7" s="94"/>
      <c r="E7" s="94"/>
      <c r="F7" s="94"/>
      <c r="G7" s="94"/>
      <c r="H7" s="94"/>
      <c r="I7" s="94"/>
      <c r="J7" s="94"/>
      <c r="K7" s="94"/>
      <c r="L7" s="30"/>
      <c r="N7" s="160"/>
    </row>
    <row r="8" spans="1:16" s="45" customFormat="1">
      <c r="A8" s="44"/>
      <c r="B8" s="94"/>
      <c r="C8" s="94"/>
      <c r="D8" s="94"/>
      <c r="E8" s="94"/>
      <c r="F8" s="94"/>
      <c r="G8" s="94"/>
      <c r="H8" s="94"/>
      <c r="I8" s="94"/>
      <c r="J8" s="94"/>
      <c r="K8" s="94"/>
      <c r="L8" s="30"/>
      <c r="N8" s="160"/>
    </row>
    <row r="9" spans="1:16" s="45" customFormat="1">
      <c r="A9" s="44"/>
      <c r="B9" s="94"/>
      <c r="C9" s="94"/>
      <c r="D9" s="94"/>
      <c r="E9" s="94"/>
      <c r="F9" s="94"/>
      <c r="G9" s="94"/>
      <c r="H9" s="94"/>
      <c r="I9" s="94"/>
      <c r="J9" s="94"/>
      <c r="K9" s="94"/>
      <c r="L9" s="30"/>
      <c r="N9" s="160"/>
    </row>
    <row r="10" spans="1:16" s="45" customFormat="1">
      <c r="A10" s="4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30"/>
      <c r="N10" s="160"/>
    </row>
    <row r="11" spans="1:16" s="45" customFormat="1">
      <c r="A11" s="4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30"/>
      <c r="N11" s="160"/>
    </row>
    <row r="12" spans="1:16" s="45" customFormat="1">
      <c r="A12" s="4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30"/>
      <c r="N12" s="160"/>
    </row>
    <row r="13" spans="1:16" s="45" customFormat="1">
      <c r="A13" s="4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30"/>
      <c r="N13" s="160"/>
    </row>
    <row r="14" spans="1:16" s="45" customFormat="1">
      <c r="A14" s="4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30"/>
      <c r="N14" s="160"/>
    </row>
    <row r="15" spans="1:16" s="45" customFormat="1">
      <c r="A15" s="4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30"/>
      <c r="N15" s="160"/>
    </row>
    <row r="16" spans="1:16" s="45" customFormat="1">
      <c r="A16" s="4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30"/>
      <c r="N16" s="160"/>
    </row>
    <row r="17" spans="1:14" s="45" customFormat="1">
      <c r="A17" s="4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30"/>
      <c r="N17" s="160"/>
    </row>
    <row r="18" spans="1:14" s="45" customFormat="1">
      <c r="A18" s="4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30"/>
      <c r="N18" s="160"/>
    </row>
    <row r="19" spans="1:14" s="45" customFormat="1">
      <c r="A19" s="4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30"/>
      <c r="N19" s="160"/>
    </row>
    <row r="20" spans="1:14" s="45" customFormat="1">
      <c r="A20" s="4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30"/>
      <c r="N20" s="160"/>
    </row>
    <row r="21" spans="1:14" s="45" customFormat="1">
      <c r="A21" s="4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30"/>
      <c r="N21" s="160"/>
    </row>
    <row r="22" spans="1:14" s="45" customFormat="1">
      <c r="A22" s="4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30"/>
      <c r="N22" s="160"/>
    </row>
    <row r="23" spans="1:14" s="45" customFormat="1">
      <c r="A23" s="4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30"/>
      <c r="N23" s="160"/>
    </row>
    <row r="24" spans="1:14" s="45" customFormat="1">
      <c r="A24" s="4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30"/>
      <c r="N24" s="160"/>
    </row>
    <row r="25" spans="1:14" s="45" customFormat="1">
      <c r="A25" s="4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30"/>
      <c r="N25" s="160"/>
    </row>
    <row r="26" spans="1:14" s="45" customFormat="1">
      <c r="A26" s="4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30"/>
      <c r="N26" s="160"/>
    </row>
    <row r="27" spans="1:14" s="45" customFormat="1">
      <c r="A27" s="4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30"/>
      <c r="N27" s="160"/>
    </row>
    <row r="28" spans="1:14" s="45" customFormat="1">
      <c r="A28" s="4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30"/>
      <c r="N28" s="160"/>
    </row>
    <row r="29" spans="1:14">
      <c r="A29" s="42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29"/>
    </row>
    <row r="30" spans="1:14">
      <c r="A30" s="4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29"/>
    </row>
    <row r="31" spans="1:14">
      <c r="A31" s="42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29"/>
    </row>
    <row r="32" spans="1:14">
      <c r="A32" s="42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9"/>
    </row>
    <row r="33" spans="1:18">
      <c r="A33" s="42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9"/>
    </row>
    <row r="34" spans="1:18">
      <c r="A34" s="42"/>
      <c r="B34" s="93" t="s">
        <v>26</v>
      </c>
      <c r="C34" s="93"/>
      <c r="D34" s="93"/>
      <c r="E34" s="93"/>
      <c r="F34" s="93"/>
      <c r="G34" s="93"/>
      <c r="H34" s="93"/>
      <c r="I34" s="93"/>
      <c r="J34" s="93"/>
      <c r="K34" s="93"/>
      <c r="L34" s="29"/>
    </row>
    <row r="35" spans="1:18" ht="30" customHeight="1">
      <c r="A35" s="42"/>
      <c r="B35" s="92" t="s">
        <v>691</v>
      </c>
      <c r="C35" s="92"/>
      <c r="D35" s="92"/>
      <c r="E35" s="92"/>
      <c r="F35" s="92"/>
      <c r="G35" s="92"/>
      <c r="H35" s="92"/>
      <c r="I35" s="92"/>
      <c r="J35" s="92"/>
      <c r="K35" s="92"/>
      <c r="L35" s="29"/>
    </row>
    <row r="36" spans="1:18">
      <c r="A36" s="42"/>
      <c r="B36" s="93" t="s">
        <v>38</v>
      </c>
      <c r="C36" s="93"/>
      <c r="D36" s="93"/>
      <c r="E36" s="93"/>
      <c r="F36" s="93"/>
      <c r="G36" s="93"/>
      <c r="H36" s="93"/>
      <c r="I36" s="93"/>
      <c r="J36" s="93"/>
      <c r="K36" s="93"/>
      <c r="L36" s="29"/>
    </row>
    <row r="37" spans="1:18" ht="30" customHeight="1">
      <c r="A37" s="42"/>
      <c r="B37" s="92" t="s">
        <v>148</v>
      </c>
      <c r="C37" s="92"/>
      <c r="D37" s="92"/>
      <c r="E37" s="92"/>
      <c r="F37" s="92"/>
      <c r="G37" s="92"/>
      <c r="H37" s="92"/>
      <c r="I37" s="92"/>
      <c r="J37" s="92"/>
      <c r="K37" s="92"/>
      <c r="L37" s="29"/>
    </row>
    <row r="38" spans="1:18" ht="10.15" customHeight="1">
      <c r="B38" s="54"/>
      <c r="C38" s="54"/>
      <c r="D38" s="54"/>
      <c r="E38" s="54"/>
      <c r="F38" s="51"/>
      <c r="G38" s="51"/>
      <c r="H38" s="51"/>
      <c r="I38" s="51"/>
      <c r="J38" s="52"/>
      <c r="K38" s="52"/>
      <c r="L38" s="32"/>
      <c r="M38" s="41"/>
      <c r="N38" s="40"/>
      <c r="O38" s="41"/>
      <c r="P38" s="41"/>
      <c r="Q38" s="41"/>
    </row>
    <row r="39" spans="1:18" ht="15" customHeight="1">
      <c r="A39" s="42"/>
      <c r="B39" s="105" t="s">
        <v>196</v>
      </c>
      <c r="C39" s="106" t="s">
        <v>352</v>
      </c>
      <c r="D39" s="106" t="s">
        <v>19</v>
      </c>
      <c r="E39" s="106" t="s">
        <v>40</v>
      </c>
      <c r="F39" s="106" t="s">
        <v>27</v>
      </c>
      <c r="G39" s="106" t="s">
        <v>28</v>
      </c>
      <c r="H39" s="106" t="s">
        <v>29</v>
      </c>
      <c r="I39" s="106" t="s">
        <v>41</v>
      </c>
      <c r="J39" s="106" t="s">
        <v>30</v>
      </c>
      <c r="K39" s="106" t="s">
        <v>31</v>
      </c>
      <c r="L39" s="106" t="s">
        <v>32</v>
      </c>
      <c r="M39" s="107" t="s">
        <v>33</v>
      </c>
      <c r="N39" s="107" t="s">
        <v>34</v>
      </c>
      <c r="O39" s="107" t="s">
        <v>35</v>
      </c>
      <c r="P39" s="107" t="s">
        <v>39</v>
      </c>
      <c r="Q39" s="108" t="s">
        <v>36</v>
      </c>
      <c r="R39" s="43"/>
    </row>
    <row r="40" spans="1:18">
      <c r="A40" s="42"/>
      <c r="B40" s="109">
        <v>1</v>
      </c>
      <c r="C40" s="56" t="s">
        <v>226</v>
      </c>
      <c r="D40" s="56" t="s">
        <v>588</v>
      </c>
      <c r="E40" s="110" t="s">
        <v>529</v>
      </c>
      <c r="F40" s="56" t="s">
        <v>76</v>
      </c>
      <c r="G40" s="56" t="s">
        <v>77</v>
      </c>
      <c r="H40" s="110" t="s">
        <v>149</v>
      </c>
      <c r="I40" s="110" t="s">
        <v>534</v>
      </c>
      <c r="J40" s="110"/>
      <c r="K40" s="111" t="s">
        <v>150</v>
      </c>
      <c r="L40" s="112"/>
      <c r="M40" s="127"/>
      <c r="N40" s="116"/>
      <c r="O40" s="128"/>
      <c r="P40" s="128"/>
      <c r="Q40" s="129"/>
      <c r="R40" s="43"/>
    </row>
    <row r="41" spans="1:18" ht="24">
      <c r="A41" s="42"/>
      <c r="B41" s="109">
        <v>2</v>
      </c>
      <c r="C41" s="56" t="s">
        <v>226</v>
      </c>
      <c r="D41" s="56" t="s">
        <v>692</v>
      </c>
      <c r="E41" s="110" t="s">
        <v>529</v>
      </c>
      <c r="F41" s="56" t="s">
        <v>76</v>
      </c>
      <c r="G41" s="56" t="s">
        <v>77</v>
      </c>
      <c r="H41" s="110" t="s">
        <v>152</v>
      </c>
      <c r="I41" s="110" t="s">
        <v>535</v>
      </c>
      <c r="J41" s="110" t="s">
        <v>566</v>
      </c>
      <c r="K41" s="111" t="s">
        <v>151</v>
      </c>
      <c r="L41" s="112"/>
      <c r="M41" s="127"/>
      <c r="N41" s="116"/>
      <c r="O41" s="128"/>
      <c r="P41" s="128"/>
      <c r="Q41" s="129"/>
      <c r="R41" s="43"/>
    </row>
    <row r="42" spans="1:18" ht="36">
      <c r="A42" s="42"/>
      <c r="B42" s="109">
        <v>3</v>
      </c>
      <c r="C42" s="56" t="s">
        <v>226</v>
      </c>
      <c r="D42" s="56" t="s">
        <v>693</v>
      </c>
      <c r="E42" s="110" t="s">
        <v>529</v>
      </c>
      <c r="F42" s="56" t="s">
        <v>76</v>
      </c>
      <c r="G42" s="56" t="s">
        <v>77</v>
      </c>
      <c r="H42" s="110" t="s">
        <v>153</v>
      </c>
      <c r="I42" s="110" t="s">
        <v>536</v>
      </c>
      <c r="J42" s="110"/>
      <c r="K42" s="111" t="s">
        <v>154</v>
      </c>
      <c r="L42" s="112"/>
      <c r="M42" s="127"/>
      <c r="N42" s="116"/>
      <c r="O42" s="128"/>
      <c r="P42" s="128"/>
      <c r="Q42" s="129"/>
      <c r="R42" s="43"/>
    </row>
    <row r="43" spans="1:18" ht="72">
      <c r="A43" s="42"/>
      <c r="B43" s="109">
        <v>4</v>
      </c>
      <c r="C43" s="56" t="s">
        <v>226</v>
      </c>
      <c r="D43" s="56" t="s">
        <v>694</v>
      </c>
      <c r="E43" s="110" t="s">
        <v>529</v>
      </c>
      <c r="F43" s="56" t="s">
        <v>76</v>
      </c>
      <c r="G43" s="56" t="s">
        <v>90</v>
      </c>
      <c r="H43" s="110" t="s">
        <v>155</v>
      </c>
      <c r="I43" s="110" t="s">
        <v>537</v>
      </c>
      <c r="J43" s="111"/>
      <c r="K43" s="111" t="s">
        <v>156</v>
      </c>
      <c r="L43" s="112"/>
      <c r="M43" s="127"/>
      <c r="N43" s="116"/>
      <c r="O43" s="128"/>
      <c r="P43" s="128"/>
      <c r="Q43" s="129"/>
      <c r="R43" s="43"/>
    </row>
    <row r="44" spans="1:18" ht="24">
      <c r="A44" s="42"/>
      <c r="B44" s="109">
        <v>5</v>
      </c>
      <c r="C44" s="56" t="s">
        <v>226</v>
      </c>
      <c r="D44" s="56" t="s">
        <v>695</v>
      </c>
      <c r="E44" s="110" t="s">
        <v>529</v>
      </c>
      <c r="F44" s="56" t="s">
        <v>49</v>
      </c>
      <c r="G44" s="56" t="s">
        <v>54</v>
      </c>
      <c r="H44" s="110" t="s">
        <v>157</v>
      </c>
      <c r="I44" s="110" t="s">
        <v>538</v>
      </c>
      <c r="J44" s="111"/>
      <c r="K44" s="111" t="s">
        <v>158</v>
      </c>
      <c r="L44" s="112"/>
      <c r="M44" s="127"/>
      <c r="N44" s="116"/>
      <c r="O44" s="128"/>
      <c r="P44" s="128"/>
      <c r="Q44" s="129"/>
      <c r="R44" s="43"/>
    </row>
    <row r="45" spans="1:18" ht="36">
      <c r="A45" s="42"/>
      <c r="B45" s="109">
        <v>6</v>
      </c>
      <c r="C45" s="56" t="s">
        <v>226</v>
      </c>
      <c r="D45" s="56" t="s">
        <v>696</v>
      </c>
      <c r="E45" s="110" t="s">
        <v>529</v>
      </c>
      <c r="F45" s="56" t="s">
        <v>49</v>
      </c>
      <c r="G45" s="56" t="s">
        <v>54</v>
      </c>
      <c r="H45" s="110" t="s">
        <v>159</v>
      </c>
      <c r="I45" s="110" t="s">
        <v>539</v>
      </c>
      <c r="J45" s="111"/>
      <c r="K45" s="110" t="s">
        <v>160</v>
      </c>
      <c r="L45" s="112"/>
      <c r="M45" s="127"/>
      <c r="N45" s="116"/>
      <c r="O45" s="128"/>
      <c r="P45" s="128"/>
      <c r="Q45" s="129"/>
      <c r="R45" s="43"/>
    </row>
    <row r="46" spans="1:18" ht="48">
      <c r="A46" s="42"/>
      <c r="B46" s="109">
        <v>7</v>
      </c>
      <c r="C46" s="56" t="s">
        <v>226</v>
      </c>
      <c r="D46" s="56" t="s">
        <v>697</v>
      </c>
      <c r="E46" s="110" t="s">
        <v>529</v>
      </c>
      <c r="F46" s="56" t="s">
        <v>49</v>
      </c>
      <c r="G46" s="56" t="s">
        <v>54</v>
      </c>
      <c r="H46" s="110" t="s">
        <v>161</v>
      </c>
      <c r="I46" s="110" t="s">
        <v>540</v>
      </c>
      <c r="J46" s="111"/>
      <c r="K46" s="111" t="s">
        <v>162</v>
      </c>
      <c r="L46" s="112"/>
      <c r="M46" s="127"/>
      <c r="N46" s="116"/>
      <c r="O46" s="128"/>
      <c r="P46" s="128"/>
      <c r="Q46" s="129"/>
      <c r="R46" s="43"/>
    </row>
    <row r="47" spans="1:18">
      <c r="A47" s="42"/>
      <c r="B47" s="109">
        <v>8</v>
      </c>
      <c r="C47" s="56" t="s">
        <v>226</v>
      </c>
      <c r="D47" s="56" t="s">
        <v>698</v>
      </c>
      <c r="E47" s="110" t="s">
        <v>529</v>
      </c>
      <c r="F47" s="56" t="s">
        <v>48</v>
      </c>
      <c r="G47" s="56" t="s">
        <v>54</v>
      </c>
      <c r="H47" s="110" t="s">
        <v>149</v>
      </c>
      <c r="I47" s="110" t="s">
        <v>534</v>
      </c>
      <c r="J47" s="110"/>
      <c r="K47" s="111" t="s">
        <v>150</v>
      </c>
      <c r="L47" s="112"/>
      <c r="M47" s="127"/>
      <c r="N47" s="116"/>
      <c r="O47" s="128"/>
      <c r="P47" s="128"/>
      <c r="Q47" s="129"/>
      <c r="R47" s="43"/>
    </row>
    <row r="48" spans="1:18" ht="24">
      <c r="A48" s="42"/>
      <c r="B48" s="109">
        <v>9</v>
      </c>
      <c r="C48" s="56" t="s">
        <v>226</v>
      </c>
      <c r="D48" s="56" t="s">
        <v>699</v>
      </c>
      <c r="E48" s="110" t="s">
        <v>529</v>
      </c>
      <c r="F48" s="56" t="s">
        <v>48</v>
      </c>
      <c r="G48" s="56" t="s">
        <v>54</v>
      </c>
      <c r="H48" s="110" t="s">
        <v>152</v>
      </c>
      <c r="I48" s="110" t="s">
        <v>535</v>
      </c>
      <c r="J48" s="110" t="s">
        <v>566</v>
      </c>
      <c r="K48" s="111" t="s">
        <v>151</v>
      </c>
      <c r="L48" s="112"/>
      <c r="M48" s="127"/>
      <c r="N48" s="116"/>
      <c r="O48" s="128"/>
      <c r="P48" s="128"/>
      <c r="Q48" s="129"/>
      <c r="R48" s="43"/>
    </row>
    <row r="49" spans="1:18" ht="36">
      <c r="A49" s="42"/>
      <c r="B49" s="109">
        <v>10</v>
      </c>
      <c r="C49" s="56" t="s">
        <v>226</v>
      </c>
      <c r="D49" s="56" t="s">
        <v>700</v>
      </c>
      <c r="E49" s="110" t="s">
        <v>529</v>
      </c>
      <c r="F49" s="56" t="s">
        <v>48</v>
      </c>
      <c r="G49" s="56" t="s">
        <v>54</v>
      </c>
      <c r="H49" s="110" t="s">
        <v>153</v>
      </c>
      <c r="I49" s="110" t="s">
        <v>536</v>
      </c>
      <c r="J49" s="110"/>
      <c r="K49" s="111" t="s">
        <v>154</v>
      </c>
      <c r="L49" s="112"/>
      <c r="M49" s="127"/>
      <c r="N49" s="116"/>
      <c r="O49" s="128"/>
      <c r="P49" s="128"/>
      <c r="Q49" s="129"/>
      <c r="R49" s="43"/>
    </row>
    <row r="50" spans="1:18" ht="72">
      <c r="A50" s="42"/>
      <c r="B50" s="109">
        <v>11</v>
      </c>
      <c r="C50" s="56" t="s">
        <v>226</v>
      </c>
      <c r="D50" s="56" t="s">
        <v>701</v>
      </c>
      <c r="E50" s="110" t="s">
        <v>529</v>
      </c>
      <c r="F50" s="56" t="s">
        <v>48</v>
      </c>
      <c r="G50" s="56" t="s">
        <v>90</v>
      </c>
      <c r="H50" s="110" t="s">
        <v>155</v>
      </c>
      <c r="I50" s="110" t="s">
        <v>537</v>
      </c>
      <c r="J50" s="111"/>
      <c r="K50" s="111" t="s">
        <v>156</v>
      </c>
      <c r="L50" s="112"/>
      <c r="M50" s="127"/>
      <c r="N50" s="116"/>
      <c r="O50" s="128"/>
      <c r="P50" s="128"/>
      <c r="Q50" s="129"/>
      <c r="R50" s="43"/>
    </row>
    <row r="51" spans="1:18" ht="24">
      <c r="A51" s="42"/>
      <c r="B51" s="109">
        <v>12</v>
      </c>
      <c r="C51" s="56" t="s">
        <v>226</v>
      </c>
      <c r="D51" s="56" t="s">
        <v>702</v>
      </c>
      <c r="E51" s="110" t="s">
        <v>529</v>
      </c>
      <c r="F51" s="56" t="s">
        <v>49</v>
      </c>
      <c r="G51" s="56" t="s">
        <v>54</v>
      </c>
      <c r="H51" s="110" t="s">
        <v>157</v>
      </c>
      <c r="I51" s="110" t="s">
        <v>538</v>
      </c>
      <c r="J51" s="111"/>
      <c r="K51" s="111" t="s">
        <v>158</v>
      </c>
      <c r="L51" s="112"/>
      <c r="M51" s="127"/>
      <c r="N51" s="116"/>
      <c r="O51" s="128"/>
      <c r="P51" s="128"/>
      <c r="Q51" s="129"/>
      <c r="R51" s="43"/>
    </row>
    <row r="52" spans="1:18" ht="36">
      <c r="A52" s="42"/>
      <c r="B52" s="109">
        <v>13</v>
      </c>
      <c r="C52" s="56" t="s">
        <v>226</v>
      </c>
      <c r="D52" s="56" t="s">
        <v>703</v>
      </c>
      <c r="E52" s="110" t="s">
        <v>529</v>
      </c>
      <c r="F52" s="56" t="s">
        <v>49</v>
      </c>
      <c r="G52" s="56" t="s">
        <v>54</v>
      </c>
      <c r="H52" s="110" t="s">
        <v>159</v>
      </c>
      <c r="I52" s="110" t="s">
        <v>539</v>
      </c>
      <c r="J52" s="111"/>
      <c r="K52" s="110" t="s">
        <v>160</v>
      </c>
      <c r="L52" s="112"/>
      <c r="M52" s="127"/>
      <c r="N52" s="116"/>
      <c r="O52" s="128"/>
      <c r="P52" s="128"/>
      <c r="Q52" s="129"/>
      <c r="R52" s="43"/>
    </row>
    <row r="53" spans="1:18" ht="48">
      <c r="A53" s="42"/>
      <c r="B53" s="109">
        <v>14</v>
      </c>
      <c r="C53" s="56" t="s">
        <v>226</v>
      </c>
      <c r="D53" s="56" t="s">
        <v>704</v>
      </c>
      <c r="E53" s="110" t="s">
        <v>529</v>
      </c>
      <c r="F53" s="56" t="s">
        <v>49</v>
      </c>
      <c r="G53" s="56" t="s">
        <v>54</v>
      </c>
      <c r="H53" s="110" t="s">
        <v>161</v>
      </c>
      <c r="I53" s="110" t="s">
        <v>540</v>
      </c>
      <c r="J53" s="111"/>
      <c r="K53" s="111" t="s">
        <v>162</v>
      </c>
      <c r="L53" s="112"/>
      <c r="M53" s="127"/>
      <c r="N53" s="116"/>
      <c r="O53" s="128"/>
      <c r="P53" s="128"/>
      <c r="Q53" s="129"/>
      <c r="R53" s="43"/>
    </row>
    <row r="54" spans="1:18">
      <c r="A54" s="42"/>
      <c r="B54" s="109">
        <v>15</v>
      </c>
      <c r="C54" s="56" t="s">
        <v>244</v>
      </c>
      <c r="D54" s="56" t="s">
        <v>705</v>
      </c>
      <c r="E54" s="110" t="s">
        <v>529</v>
      </c>
      <c r="F54" s="56" t="s">
        <v>59</v>
      </c>
      <c r="G54" s="56" t="s">
        <v>54</v>
      </c>
      <c r="H54" s="110" t="s">
        <v>149</v>
      </c>
      <c r="I54" s="110" t="s">
        <v>534</v>
      </c>
      <c r="J54" s="110"/>
      <c r="K54" s="111" t="s">
        <v>150</v>
      </c>
      <c r="L54" s="112"/>
      <c r="M54" s="127"/>
      <c r="N54" s="116"/>
      <c r="O54" s="128"/>
      <c r="P54" s="128"/>
      <c r="Q54" s="129"/>
      <c r="R54" s="43"/>
    </row>
    <row r="55" spans="1:18" ht="24">
      <c r="A55" s="42"/>
      <c r="B55" s="109">
        <v>16</v>
      </c>
      <c r="C55" s="56" t="s">
        <v>244</v>
      </c>
      <c r="D55" s="56" t="s">
        <v>706</v>
      </c>
      <c r="E55" s="110" t="s">
        <v>529</v>
      </c>
      <c r="F55" s="56" t="s">
        <v>59</v>
      </c>
      <c r="G55" s="56" t="s">
        <v>54</v>
      </c>
      <c r="H55" s="110" t="s">
        <v>152</v>
      </c>
      <c r="I55" s="110" t="s">
        <v>535</v>
      </c>
      <c r="J55" s="110" t="s">
        <v>566</v>
      </c>
      <c r="K55" s="111" t="s">
        <v>151</v>
      </c>
      <c r="L55" s="112"/>
      <c r="M55" s="127"/>
      <c r="N55" s="116"/>
      <c r="O55" s="128"/>
      <c r="P55" s="128"/>
      <c r="Q55" s="129"/>
      <c r="R55" s="43"/>
    </row>
    <row r="56" spans="1:18" ht="36">
      <c r="A56" s="42"/>
      <c r="B56" s="109">
        <v>17</v>
      </c>
      <c r="C56" s="56" t="s">
        <v>244</v>
      </c>
      <c r="D56" s="56" t="s">
        <v>707</v>
      </c>
      <c r="E56" s="110" t="s">
        <v>529</v>
      </c>
      <c r="F56" s="56" t="s">
        <v>59</v>
      </c>
      <c r="G56" s="56" t="s">
        <v>54</v>
      </c>
      <c r="H56" s="110" t="s">
        <v>153</v>
      </c>
      <c r="I56" s="110" t="s">
        <v>536</v>
      </c>
      <c r="J56" s="110"/>
      <c r="K56" s="111" t="s">
        <v>154</v>
      </c>
      <c r="L56" s="112"/>
      <c r="M56" s="127"/>
      <c r="N56" s="116"/>
      <c r="O56" s="128"/>
      <c r="P56" s="128"/>
      <c r="Q56" s="129"/>
      <c r="R56" s="43"/>
    </row>
    <row r="57" spans="1:18" ht="72">
      <c r="A57" s="42"/>
      <c r="B57" s="109">
        <v>18</v>
      </c>
      <c r="C57" s="56" t="s">
        <v>244</v>
      </c>
      <c r="D57" s="56" t="s">
        <v>708</v>
      </c>
      <c r="E57" s="110" t="s">
        <v>529</v>
      </c>
      <c r="F57" s="56" t="s">
        <v>59</v>
      </c>
      <c r="G57" s="56" t="s">
        <v>90</v>
      </c>
      <c r="H57" s="110" t="s">
        <v>155</v>
      </c>
      <c r="I57" s="110" t="s">
        <v>537</v>
      </c>
      <c r="J57" s="111"/>
      <c r="K57" s="111" t="s">
        <v>156</v>
      </c>
      <c r="L57" s="112"/>
      <c r="M57" s="127"/>
      <c r="N57" s="116"/>
      <c r="O57" s="128"/>
      <c r="P57" s="128"/>
      <c r="Q57" s="129"/>
      <c r="R57" s="43"/>
    </row>
    <row r="58" spans="1:18" ht="24">
      <c r="A58" s="42"/>
      <c r="B58" s="109">
        <v>19</v>
      </c>
      <c r="C58" s="56" t="s">
        <v>244</v>
      </c>
      <c r="D58" s="56" t="s">
        <v>709</v>
      </c>
      <c r="E58" s="110" t="s">
        <v>529</v>
      </c>
      <c r="F58" s="56" t="s">
        <v>49</v>
      </c>
      <c r="G58" s="56" t="s">
        <v>54</v>
      </c>
      <c r="H58" s="110" t="s">
        <v>157</v>
      </c>
      <c r="I58" s="110" t="s">
        <v>538</v>
      </c>
      <c r="J58" s="111"/>
      <c r="K58" s="111" t="s">
        <v>158</v>
      </c>
      <c r="L58" s="112"/>
      <c r="M58" s="127"/>
      <c r="N58" s="116"/>
      <c r="O58" s="128"/>
      <c r="P58" s="128"/>
      <c r="Q58" s="129"/>
      <c r="R58" s="43"/>
    </row>
    <row r="59" spans="1:18" ht="36">
      <c r="A59" s="42"/>
      <c r="B59" s="109">
        <v>20</v>
      </c>
      <c r="C59" s="56" t="s">
        <v>244</v>
      </c>
      <c r="D59" s="56" t="s">
        <v>710</v>
      </c>
      <c r="E59" s="110" t="s">
        <v>529</v>
      </c>
      <c r="F59" s="56" t="s">
        <v>49</v>
      </c>
      <c r="G59" s="56" t="s">
        <v>54</v>
      </c>
      <c r="H59" s="110" t="s">
        <v>159</v>
      </c>
      <c r="I59" s="110" t="s">
        <v>539</v>
      </c>
      <c r="J59" s="111"/>
      <c r="K59" s="110" t="s">
        <v>160</v>
      </c>
      <c r="L59" s="112"/>
      <c r="M59" s="127"/>
      <c r="N59" s="116"/>
      <c r="O59" s="128"/>
      <c r="P59" s="128"/>
      <c r="Q59" s="129"/>
      <c r="R59" s="43"/>
    </row>
    <row r="60" spans="1:18" ht="48">
      <c r="A60" s="42"/>
      <c r="B60" s="109">
        <v>21</v>
      </c>
      <c r="C60" s="56" t="s">
        <v>244</v>
      </c>
      <c r="D60" s="56" t="s">
        <v>711</v>
      </c>
      <c r="E60" s="110" t="s">
        <v>529</v>
      </c>
      <c r="F60" s="56" t="s">
        <v>49</v>
      </c>
      <c r="G60" s="56" t="s">
        <v>54</v>
      </c>
      <c r="H60" s="110" t="s">
        <v>161</v>
      </c>
      <c r="I60" s="110" t="s">
        <v>540</v>
      </c>
      <c r="J60" s="111"/>
      <c r="K60" s="111" t="s">
        <v>162</v>
      </c>
      <c r="L60" s="112"/>
      <c r="M60" s="127"/>
      <c r="N60" s="116"/>
      <c r="O60" s="128"/>
      <c r="P60" s="128"/>
      <c r="Q60" s="129"/>
      <c r="R60" s="43"/>
    </row>
    <row r="61" spans="1:18">
      <c r="A61" s="42"/>
      <c r="B61" s="109">
        <v>22</v>
      </c>
      <c r="C61" s="56" t="s">
        <v>244</v>
      </c>
      <c r="D61" s="56" t="s">
        <v>712</v>
      </c>
      <c r="E61" s="110" t="s">
        <v>529</v>
      </c>
      <c r="F61" s="56" t="s">
        <v>48</v>
      </c>
      <c r="G61" s="56" t="s">
        <v>54</v>
      </c>
      <c r="H61" s="110" t="s">
        <v>149</v>
      </c>
      <c r="I61" s="110" t="s">
        <v>534</v>
      </c>
      <c r="J61" s="110"/>
      <c r="K61" s="111" t="s">
        <v>150</v>
      </c>
      <c r="L61" s="112"/>
      <c r="M61" s="127"/>
      <c r="N61" s="116"/>
      <c r="O61" s="128"/>
      <c r="P61" s="128"/>
      <c r="Q61" s="129"/>
      <c r="R61" s="43"/>
    </row>
    <row r="62" spans="1:18" ht="24">
      <c r="A62" s="42"/>
      <c r="B62" s="109">
        <v>23</v>
      </c>
      <c r="C62" s="56" t="s">
        <v>244</v>
      </c>
      <c r="D62" s="56" t="s">
        <v>713</v>
      </c>
      <c r="E62" s="110" t="s">
        <v>529</v>
      </c>
      <c r="F62" s="56" t="s">
        <v>48</v>
      </c>
      <c r="G62" s="56" t="s">
        <v>54</v>
      </c>
      <c r="H62" s="110" t="s">
        <v>152</v>
      </c>
      <c r="I62" s="110" t="s">
        <v>535</v>
      </c>
      <c r="J62" s="110" t="s">
        <v>566</v>
      </c>
      <c r="K62" s="111" t="s">
        <v>151</v>
      </c>
      <c r="L62" s="112"/>
      <c r="M62" s="127"/>
      <c r="N62" s="116"/>
      <c r="O62" s="128"/>
      <c r="P62" s="128"/>
      <c r="Q62" s="129"/>
      <c r="R62" s="43"/>
    </row>
    <row r="63" spans="1:18" ht="36">
      <c r="A63" s="42"/>
      <c r="B63" s="109">
        <v>24</v>
      </c>
      <c r="C63" s="56" t="s">
        <v>244</v>
      </c>
      <c r="D63" s="56" t="s">
        <v>714</v>
      </c>
      <c r="E63" s="110" t="s">
        <v>529</v>
      </c>
      <c r="F63" s="56" t="s">
        <v>48</v>
      </c>
      <c r="G63" s="56" t="s">
        <v>54</v>
      </c>
      <c r="H63" s="110" t="s">
        <v>153</v>
      </c>
      <c r="I63" s="110" t="s">
        <v>536</v>
      </c>
      <c r="J63" s="110"/>
      <c r="K63" s="111" t="s">
        <v>154</v>
      </c>
      <c r="L63" s="112"/>
      <c r="M63" s="127"/>
      <c r="N63" s="116"/>
      <c r="O63" s="128"/>
      <c r="P63" s="128"/>
      <c r="Q63" s="129"/>
      <c r="R63" s="43"/>
    </row>
    <row r="64" spans="1:18" ht="72">
      <c r="A64" s="42"/>
      <c r="B64" s="109">
        <v>25</v>
      </c>
      <c r="C64" s="56" t="s">
        <v>244</v>
      </c>
      <c r="D64" s="56" t="s">
        <v>715</v>
      </c>
      <c r="E64" s="110" t="s">
        <v>529</v>
      </c>
      <c r="F64" s="56" t="s">
        <v>48</v>
      </c>
      <c r="G64" s="56" t="s">
        <v>90</v>
      </c>
      <c r="H64" s="110" t="s">
        <v>155</v>
      </c>
      <c r="I64" s="110" t="s">
        <v>537</v>
      </c>
      <c r="J64" s="111"/>
      <c r="K64" s="111" t="s">
        <v>156</v>
      </c>
      <c r="L64" s="112"/>
      <c r="M64" s="127"/>
      <c r="N64" s="116"/>
      <c r="O64" s="128"/>
      <c r="P64" s="128"/>
      <c r="Q64" s="129"/>
      <c r="R64" s="43"/>
    </row>
    <row r="65" spans="1:18" ht="24">
      <c r="A65" s="42"/>
      <c r="B65" s="109">
        <v>26</v>
      </c>
      <c r="C65" s="56" t="s">
        <v>244</v>
      </c>
      <c r="D65" s="56" t="s">
        <v>716</v>
      </c>
      <c r="E65" s="110" t="s">
        <v>529</v>
      </c>
      <c r="F65" s="56" t="s">
        <v>49</v>
      </c>
      <c r="G65" s="56" t="s">
        <v>54</v>
      </c>
      <c r="H65" s="110" t="s">
        <v>157</v>
      </c>
      <c r="I65" s="110" t="s">
        <v>538</v>
      </c>
      <c r="J65" s="111"/>
      <c r="K65" s="111" t="s">
        <v>158</v>
      </c>
      <c r="L65" s="112"/>
      <c r="M65" s="127"/>
      <c r="N65" s="116"/>
      <c r="O65" s="128"/>
      <c r="P65" s="128"/>
      <c r="Q65" s="129"/>
      <c r="R65" s="43"/>
    </row>
    <row r="66" spans="1:18" ht="36">
      <c r="A66" s="42"/>
      <c r="B66" s="109">
        <v>27</v>
      </c>
      <c r="C66" s="56" t="s">
        <v>244</v>
      </c>
      <c r="D66" s="56" t="s">
        <v>717</v>
      </c>
      <c r="E66" s="110" t="s">
        <v>529</v>
      </c>
      <c r="F66" s="56" t="s">
        <v>49</v>
      </c>
      <c r="G66" s="56" t="s">
        <v>54</v>
      </c>
      <c r="H66" s="110" t="s">
        <v>159</v>
      </c>
      <c r="I66" s="110" t="s">
        <v>539</v>
      </c>
      <c r="J66" s="111"/>
      <c r="K66" s="110" t="s">
        <v>160</v>
      </c>
      <c r="L66" s="112"/>
      <c r="M66" s="127"/>
      <c r="N66" s="116"/>
      <c r="O66" s="128"/>
      <c r="P66" s="128"/>
      <c r="Q66" s="129"/>
      <c r="R66" s="43"/>
    </row>
    <row r="67" spans="1:18" ht="48">
      <c r="A67" s="42"/>
      <c r="B67" s="118">
        <v>28</v>
      </c>
      <c r="C67" s="56" t="s">
        <v>244</v>
      </c>
      <c r="D67" s="119" t="s">
        <v>718</v>
      </c>
      <c r="E67" s="137" t="s">
        <v>529</v>
      </c>
      <c r="F67" s="119" t="s">
        <v>49</v>
      </c>
      <c r="G67" s="119" t="s">
        <v>54</v>
      </c>
      <c r="H67" s="137" t="s">
        <v>161</v>
      </c>
      <c r="I67" s="137" t="s">
        <v>540</v>
      </c>
      <c r="J67" s="138"/>
      <c r="K67" s="138" t="s">
        <v>162</v>
      </c>
      <c r="L67" s="139"/>
      <c r="M67" s="140"/>
      <c r="N67" s="116"/>
      <c r="O67" s="135"/>
      <c r="P67" s="135"/>
      <c r="Q67" s="136"/>
      <c r="R67" s="43"/>
    </row>
    <row r="68" spans="1:18">
      <c r="B68" s="46"/>
      <c r="C68" s="46"/>
      <c r="D68" s="46"/>
      <c r="E68" s="46"/>
      <c r="F68" s="46"/>
      <c r="G68" s="46"/>
      <c r="H68" s="46"/>
      <c r="I68" s="46"/>
      <c r="J68" s="47"/>
      <c r="K68" s="47"/>
      <c r="L68" s="47"/>
      <c r="M68" s="47"/>
      <c r="N68" s="46"/>
      <c r="O68" s="47"/>
      <c r="P68" s="47"/>
      <c r="Q68" s="47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67" xr:uid="{8F97C03D-313C-490E-AEF8-5A45CE1A51D3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2" orientation="landscape" verticalDpi="4" r:id="rId1"/>
  <drawing r:id="rId2"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07FA-6D99-4D40-A0C5-1CFE1ED726C0}">
  <sheetPr>
    <pageSetUpPr fitToPage="1"/>
  </sheetPr>
  <dimension ref="A1:Q102"/>
  <sheetViews>
    <sheetView zoomScaleNormal="100" workbookViewId="0">
      <selection activeCell="O2" sqref="O2"/>
    </sheetView>
  </sheetViews>
  <sheetFormatPr defaultColWidth="8.88671875" defaultRowHeight="13.5"/>
  <cols>
    <col min="1" max="1" width="2.6640625" style="36" customWidth="1"/>
    <col min="2" max="2" width="5.44140625" style="38" customWidth="1"/>
    <col min="3" max="4" width="10.21875" style="38" customWidth="1"/>
    <col min="5" max="5" width="13.6640625" style="38" customWidth="1"/>
    <col min="6" max="7" width="5.6640625" style="38" customWidth="1"/>
    <col min="8" max="8" width="15.6640625" style="38" customWidth="1"/>
    <col min="9" max="9" width="25.6640625" style="38" customWidth="1"/>
    <col min="10" max="10" width="15.6640625" style="36" customWidth="1"/>
    <col min="11" max="11" width="31.88671875" style="36" customWidth="1"/>
    <col min="12" max="13" width="8.6640625" style="36" customWidth="1"/>
    <col min="14" max="14" width="9.109375" style="38" customWidth="1"/>
    <col min="15" max="15" width="30.6640625" style="36" customWidth="1"/>
    <col min="16" max="16" width="10.5546875" style="36" bestFit="1" customWidth="1"/>
    <col min="17" max="16384" width="8.88671875" style="36"/>
  </cols>
  <sheetData>
    <row r="1" spans="1:16" ht="66" customHeight="1">
      <c r="B1" s="37"/>
      <c r="C1" s="37"/>
      <c r="D1" s="37"/>
      <c r="E1" s="37"/>
    </row>
    <row r="2" spans="1:16" ht="59.65" customHeight="1">
      <c r="B2" s="59" t="s">
        <v>210</v>
      </c>
      <c r="C2" s="88" t="s">
        <v>208</v>
      </c>
      <c r="D2" s="89"/>
      <c r="E2" s="89"/>
      <c r="F2" s="89"/>
      <c r="G2" s="89"/>
      <c r="H2" s="89"/>
      <c r="I2" s="89"/>
      <c r="J2" s="89"/>
      <c r="K2" s="90"/>
      <c r="L2" s="27"/>
      <c r="M2" s="45"/>
      <c r="N2" s="160"/>
      <c r="O2" s="45"/>
      <c r="P2" s="45"/>
    </row>
    <row r="3" spans="1:16" ht="7.5" customHeight="1">
      <c r="B3" s="31"/>
      <c r="C3" s="31"/>
      <c r="D3" s="31"/>
      <c r="E3" s="31"/>
      <c r="F3" s="60"/>
      <c r="G3" s="60"/>
      <c r="H3" s="60"/>
      <c r="I3" s="60"/>
      <c r="J3" s="32"/>
      <c r="K3" s="32"/>
      <c r="L3" s="25"/>
    </row>
    <row r="4" spans="1:16">
      <c r="A4" s="42"/>
      <c r="B4" s="93" t="s">
        <v>37</v>
      </c>
      <c r="C4" s="93"/>
      <c r="D4" s="93"/>
      <c r="E4" s="93"/>
      <c r="F4" s="93"/>
      <c r="G4" s="93"/>
      <c r="H4" s="93"/>
      <c r="I4" s="93"/>
      <c r="J4" s="93"/>
      <c r="K4" s="93"/>
      <c r="L4" s="29"/>
    </row>
    <row r="5" spans="1:16" s="45" customFormat="1">
      <c r="A5" s="44"/>
      <c r="B5" s="94"/>
      <c r="C5" s="94"/>
      <c r="D5" s="94"/>
      <c r="E5" s="94"/>
      <c r="F5" s="94"/>
      <c r="G5" s="94"/>
      <c r="H5" s="94"/>
      <c r="I5" s="94"/>
      <c r="J5" s="94"/>
      <c r="K5" s="94"/>
      <c r="L5" s="30"/>
      <c r="N5" s="160"/>
    </row>
    <row r="6" spans="1:16" s="45" customFormat="1">
      <c r="A6" s="44"/>
      <c r="B6" s="94"/>
      <c r="C6" s="94"/>
      <c r="D6" s="94"/>
      <c r="E6" s="94"/>
      <c r="F6" s="94"/>
      <c r="G6" s="94"/>
      <c r="H6" s="94"/>
      <c r="I6" s="94"/>
      <c r="J6" s="94"/>
      <c r="K6" s="94"/>
      <c r="L6" s="30"/>
      <c r="N6" s="160"/>
    </row>
    <row r="7" spans="1:16" s="45" customFormat="1">
      <c r="A7" s="44"/>
      <c r="B7" s="94"/>
      <c r="C7" s="94"/>
      <c r="D7" s="94"/>
      <c r="E7" s="94"/>
      <c r="F7" s="94"/>
      <c r="G7" s="94"/>
      <c r="H7" s="94"/>
      <c r="I7" s="94"/>
      <c r="J7" s="94"/>
      <c r="K7" s="94"/>
      <c r="L7" s="30"/>
      <c r="N7" s="160"/>
    </row>
    <row r="8" spans="1:16" s="45" customFormat="1">
      <c r="A8" s="44"/>
      <c r="B8" s="94"/>
      <c r="C8" s="94"/>
      <c r="D8" s="94"/>
      <c r="E8" s="94"/>
      <c r="F8" s="94"/>
      <c r="G8" s="94"/>
      <c r="H8" s="94"/>
      <c r="I8" s="94"/>
      <c r="J8" s="94"/>
      <c r="K8" s="94"/>
      <c r="L8" s="30"/>
      <c r="N8" s="160"/>
    </row>
    <row r="9" spans="1:16" s="45" customFormat="1">
      <c r="A9" s="44"/>
      <c r="B9" s="94"/>
      <c r="C9" s="94"/>
      <c r="D9" s="94"/>
      <c r="E9" s="94"/>
      <c r="F9" s="94"/>
      <c r="G9" s="94"/>
      <c r="H9" s="94"/>
      <c r="I9" s="94"/>
      <c r="J9" s="94"/>
      <c r="K9" s="94"/>
      <c r="L9" s="30"/>
      <c r="N9" s="160"/>
    </row>
    <row r="10" spans="1:16" s="45" customFormat="1">
      <c r="A10" s="4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30"/>
      <c r="N10" s="160"/>
    </row>
    <row r="11" spans="1:16" s="45" customFormat="1">
      <c r="A11" s="4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30"/>
      <c r="N11" s="160"/>
    </row>
    <row r="12" spans="1:16" s="45" customFormat="1">
      <c r="A12" s="4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30"/>
      <c r="N12" s="160"/>
    </row>
    <row r="13" spans="1:16" s="45" customFormat="1">
      <c r="A13" s="4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30"/>
      <c r="N13" s="160"/>
    </row>
    <row r="14" spans="1:16" s="45" customFormat="1">
      <c r="A14" s="4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30"/>
      <c r="N14" s="160"/>
    </row>
    <row r="15" spans="1:16" s="45" customFormat="1">
      <c r="A15" s="4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30"/>
      <c r="N15" s="160"/>
    </row>
    <row r="16" spans="1:16" s="45" customFormat="1">
      <c r="A16" s="4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30"/>
      <c r="N16" s="160"/>
    </row>
    <row r="17" spans="1:14" s="45" customFormat="1">
      <c r="A17" s="4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30"/>
      <c r="N17" s="160"/>
    </row>
    <row r="18" spans="1:14" s="45" customFormat="1">
      <c r="A18" s="4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30"/>
      <c r="N18" s="160"/>
    </row>
    <row r="19" spans="1:14" s="45" customFormat="1">
      <c r="A19" s="4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30"/>
      <c r="N19" s="160"/>
    </row>
    <row r="20" spans="1:14" s="45" customFormat="1">
      <c r="A20" s="4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30"/>
      <c r="N20" s="160"/>
    </row>
    <row r="21" spans="1:14" s="45" customFormat="1">
      <c r="A21" s="4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30"/>
      <c r="N21" s="160"/>
    </row>
    <row r="22" spans="1:14" s="45" customFormat="1">
      <c r="A22" s="4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30"/>
      <c r="N22" s="160"/>
    </row>
    <row r="23" spans="1:14" s="45" customFormat="1">
      <c r="A23" s="4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30"/>
      <c r="N23" s="160"/>
    </row>
    <row r="24" spans="1:14" s="45" customFormat="1">
      <c r="A24" s="4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30"/>
      <c r="N24" s="160"/>
    </row>
    <row r="25" spans="1:14" s="45" customFormat="1">
      <c r="A25" s="4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30"/>
      <c r="N25" s="160"/>
    </row>
    <row r="26" spans="1:14" s="45" customFormat="1">
      <c r="A26" s="4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30"/>
      <c r="N26" s="160"/>
    </row>
    <row r="27" spans="1:14" s="45" customFormat="1">
      <c r="A27" s="4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30"/>
      <c r="N27" s="160"/>
    </row>
    <row r="28" spans="1:14" s="45" customFormat="1">
      <c r="A28" s="4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30"/>
      <c r="N28" s="160"/>
    </row>
    <row r="29" spans="1:14">
      <c r="A29" s="42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29"/>
    </row>
    <row r="30" spans="1:14">
      <c r="A30" s="4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29"/>
    </row>
    <row r="31" spans="1:14">
      <c r="A31" s="42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29"/>
    </row>
    <row r="32" spans="1:14">
      <c r="A32" s="42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9"/>
    </row>
    <row r="33" spans="1:17">
      <c r="A33" s="42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9"/>
    </row>
    <row r="34" spans="1:17">
      <c r="A34" s="42"/>
      <c r="B34" s="93" t="s">
        <v>26</v>
      </c>
      <c r="C34" s="93"/>
      <c r="D34" s="93"/>
      <c r="E34" s="93"/>
      <c r="F34" s="93"/>
      <c r="G34" s="93"/>
      <c r="H34" s="93"/>
      <c r="I34" s="93"/>
      <c r="J34" s="93"/>
      <c r="K34" s="93"/>
      <c r="L34" s="29"/>
    </row>
    <row r="35" spans="1:17" ht="30" customHeight="1">
      <c r="A35" s="42"/>
      <c r="B35" s="91" t="s">
        <v>782</v>
      </c>
      <c r="C35" s="92"/>
      <c r="D35" s="92"/>
      <c r="E35" s="92"/>
      <c r="F35" s="92"/>
      <c r="G35" s="92"/>
      <c r="H35" s="92"/>
      <c r="I35" s="92"/>
      <c r="J35" s="92"/>
      <c r="K35" s="92"/>
      <c r="L35" s="29"/>
    </row>
    <row r="36" spans="1:17">
      <c r="A36" s="42"/>
      <c r="B36" s="93" t="s">
        <v>38</v>
      </c>
      <c r="C36" s="93"/>
      <c r="D36" s="93"/>
      <c r="E36" s="93"/>
      <c r="F36" s="93"/>
      <c r="G36" s="93"/>
      <c r="H36" s="93"/>
      <c r="I36" s="93"/>
      <c r="J36" s="93"/>
      <c r="K36" s="93"/>
      <c r="L36" s="29"/>
    </row>
    <row r="37" spans="1:17" ht="30" customHeight="1">
      <c r="A37" s="42"/>
      <c r="B37" s="92" t="s">
        <v>163</v>
      </c>
      <c r="C37" s="92"/>
      <c r="D37" s="92"/>
      <c r="E37" s="92"/>
      <c r="F37" s="92"/>
      <c r="G37" s="92"/>
      <c r="H37" s="92"/>
      <c r="I37" s="92"/>
      <c r="J37" s="92"/>
      <c r="K37" s="92"/>
      <c r="L37" s="29"/>
    </row>
    <row r="38" spans="1:17" ht="10.15" customHeight="1">
      <c r="B38" s="54"/>
      <c r="C38" s="54"/>
      <c r="D38" s="54"/>
      <c r="E38" s="54"/>
      <c r="F38" s="51"/>
      <c r="G38" s="51"/>
      <c r="H38" s="51"/>
      <c r="I38" s="51"/>
      <c r="J38" s="52"/>
      <c r="K38" s="52"/>
      <c r="L38" s="32"/>
      <c r="M38" s="41"/>
      <c r="N38" s="40"/>
      <c r="O38" s="41"/>
      <c r="P38" s="41"/>
      <c r="Q38" s="41"/>
    </row>
    <row r="39" spans="1:17" ht="15" customHeight="1">
      <c r="A39" s="42"/>
      <c r="B39" s="105" t="s">
        <v>196</v>
      </c>
      <c r="C39" s="106" t="s">
        <v>352</v>
      </c>
      <c r="D39" s="106" t="s">
        <v>19</v>
      </c>
      <c r="E39" s="106" t="s">
        <v>40</v>
      </c>
      <c r="F39" s="106" t="s">
        <v>27</v>
      </c>
      <c r="G39" s="106" t="s">
        <v>28</v>
      </c>
      <c r="H39" s="106" t="s">
        <v>29</v>
      </c>
      <c r="I39" s="106" t="s">
        <v>41</v>
      </c>
      <c r="J39" s="106" t="s">
        <v>30</v>
      </c>
      <c r="K39" s="106" t="s">
        <v>31</v>
      </c>
      <c r="L39" s="106" t="s">
        <v>32</v>
      </c>
      <c r="M39" s="107" t="s">
        <v>33</v>
      </c>
      <c r="N39" s="107" t="s">
        <v>34</v>
      </c>
      <c r="O39" s="107" t="s">
        <v>35</v>
      </c>
      <c r="P39" s="107" t="s">
        <v>39</v>
      </c>
      <c r="Q39" s="108" t="s">
        <v>36</v>
      </c>
    </row>
    <row r="40" spans="1:17" ht="24">
      <c r="A40" s="42"/>
      <c r="B40" s="109">
        <v>1</v>
      </c>
      <c r="C40" s="56" t="s">
        <v>226</v>
      </c>
      <c r="D40" s="56" t="s">
        <v>719</v>
      </c>
      <c r="E40" s="57" t="s">
        <v>568</v>
      </c>
      <c r="F40" s="56" t="s">
        <v>164</v>
      </c>
      <c r="G40" s="56" t="s">
        <v>167</v>
      </c>
      <c r="H40" s="57" t="s">
        <v>569</v>
      </c>
      <c r="I40" s="57" t="s">
        <v>570</v>
      </c>
      <c r="J40" s="142"/>
      <c r="K40" s="142" t="s">
        <v>168</v>
      </c>
      <c r="L40" s="112"/>
      <c r="M40" s="127"/>
      <c r="N40" s="116"/>
      <c r="O40" s="128"/>
      <c r="P40" s="128"/>
      <c r="Q40" s="129"/>
    </row>
    <row r="41" spans="1:17" ht="24">
      <c r="A41" s="42"/>
      <c r="B41" s="109">
        <v>2</v>
      </c>
      <c r="C41" s="56" t="s">
        <v>226</v>
      </c>
      <c r="D41" s="56" t="s">
        <v>720</v>
      </c>
      <c r="E41" s="57" t="s">
        <v>568</v>
      </c>
      <c r="F41" s="56" t="s">
        <v>164</v>
      </c>
      <c r="G41" s="56" t="s">
        <v>167</v>
      </c>
      <c r="H41" s="57" t="s">
        <v>166</v>
      </c>
      <c r="I41" s="57" t="s">
        <v>571</v>
      </c>
      <c r="J41" s="142" t="s">
        <v>169</v>
      </c>
      <c r="K41" s="142" t="s">
        <v>170</v>
      </c>
      <c r="L41" s="112"/>
      <c r="M41" s="127"/>
      <c r="N41" s="116"/>
      <c r="O41" s="128"/>
      <c r="P41" s="128"/>
      <c r="Q41" s="129"/>
    </row>
    <row r="42" spans="1:17" ht="48">
      <c r="A42" s="42"/>
      <c r="B42" s="109">
        <v>3</v>
      </c>
      <c r="C42" s="56" t="s">
        <v>226</v>
      </c>
      <c r="D42" s="56" t="s">
        <v>721</v>
      </c>
      <c r="E42" s="57" t="s">
        <v>568</v>
      </c>
      <c r="F42" s="56" t="s">
        <v>164</v>
      </c>
      <c r="G42" s="56" t="s">
        <v>167</v>
      </c>
      <c r="H42" s="57" t="s">
        <v>171</v>
      </c>
      <c r="I42" s="57" t="s">
        <v>572</v>
      </c>
      <c r="J42" s="57"/>
      <c r="K42" s="142" t="s">
        <v>174</v>
      </c>
      <c r="L42" s="112"/>
      <c r="M42" s="127"/>
      <c r="N42" s="116"/>
      <c r="O42" s="128"/>
      <c r="P42" s="128"/>
      <c r="Q42" s="129"/>
    </row>
    <row r="43" spans="1:17" ht="24">
      <c r="A43" s="42"/>
      <c r="B43" s="109">
        <v>4</v>
      </c>
      <c r="C43" s="56" t="s">
        <v>226</v>
      </c>
      <c r="D43" s="56" t="s">
        <v>722</v>
      </c>
      <c r="E43" s="57" t="s">
        <v>568</v>
      </c>
      <c r="F43" s="56" t="s">
        <v>164</v>
      </c>
      <c r="G43" s="56" t="s">
        <v>167</v>
      </c>
      <c r="H43" s="57" t="s">
        <v>172</v>
      </c>
      <c r="I43" s="57" t="s">
        <v>573</v>
      </c>
      <c r="J43" s="57"/>
      <c r="K43" s="142" t="s">
        <v>177</v>
      </c>
      <c r="L43" s="112"/>
      <c r="M43" s="127"/>
      <c r="N43" s="116"/>
      <c r="O43" s="128"/>
      <c r="P43" s="128"/>
      <c r="Q43" s="129"/>
    </row>
    <row r="44" spans="1:17" ht="24">
      <c r="A44" s="42"/>
      <c r="B44" s="109">
        <v>5</v>
      </c>
      <c r="C44" s="56" t="s">
        <v>226</v>
      </c>
      <c r="D44" s="56" t="s">
        <v>723</v>
      </c>
      <c r="E44" s="57" t="s">
        <v>568</v>
      </c>
      <c r="F44" s="56" t="s">
        <v>164</v>
      </c>
      <c r="G44" s="56" t="s">
        <v>167</v>
      </c>
      <c r="H44" s="57" t="s">
        <v>172</v>
      </c>
      <c r="I44" s="57" t="s">
        <v>574</v>
      </c>
      <c r="J44" s="57"/>
      <c r="K44" s="142" t="s">
        <v>178</v>
      </c>
      <c r="L44" s="112"/>
      <c r="M44" s="127"/>
      <c r="N44" s="116"/>
      <c r="O44" s="128"/>
      <c r="P44" s="128"/>
      <c r="Q44" s="129"/>
    </row>
    <row r="45" spans="1:17" ht="24">
      <c r="A45" s="42"/>
      <c r="B45" s="109">
        <v>6</v>
      </c>
      <c r="C45" s="56" t="s">
        <v>226</v>
      </c>
      <c r="D45" s="56" t="s">
        <v>724</v>
      </c>
      <c r="E45" s="57" t="s">
        <v>568</v>
      </c>
      <c r="F45" s="56" t="s">
        <v>164</v>
      </c>
      <c r="G45" s="56" t="s">
        <v>167</v>
      </c>
      <c r="H45" s="57" t="s">
        <v>172</v>
      </c>
      <c r="I45" s="57" t="s">
        <v>575</v>
      </c>
      <c r="J45" s="57"/>
      <c r="K45" s="142" t="s">
        <v>179</v>
      </c>
      <c r="L45" s="112"/>
      <c r="M45" s="127"/>
      <c r="N45" s="116"/>
      <c r="O45" s="128"/>
      <c r="P45" s="128"/>
      <c r="Q45" s="129"/>
    </row>
    <row r="46" spans="1:17" ht="36">
      <c r="A46" s="42"/>
      <c r="B46" s="109">
        <v>7</v>
      </c>
      <c r="C46" s="56" t="s">
        <v>226</v>
      </c>
      <c r="D46" s="56" t="s">
        <v>725</v>
      </c>
      <c r="E46" s="57" t="s">
        <v>568</v>
      </c>
      <c r="F46" s="56" t="s">
        <v>164</v>
      </c>
      <c r="G46" s="56" t="s">
        <v>167</v>
      </c>
      <c r="H46" s="57" t="s">
        <v>173</v>
      </c>
      <c r="I46" s="57" t="s">
        <v>576</v>
      </c>
      <c r="J46" s="57"/>
      <c r="K46" s="142" t="s">
        <v>192</v>
      </c>
      <c r="L46" s="112"/>
      <c r="M46" s="127"/>
      <c r="N46" s="116"/>
      <c r="O46" s="128"/>
      <c r="P46" s="128"/>
      <c r="Q46" s="129"/>
    </row>
    <row r="47" spans="1:17" ht="48">
      <c r="A47" s="42"/>
      <c r="B47" s="109">
        <v>8</v>
      </c>
      <c r="C47" s="56" t="s">
        <v>226</v>
      </c>
      <c r="D47" s="56" t="s">
        <v>726</v>
      </c>
      <c r="E47" s="57" t="s">
        <v>568</v>
      </c>
      <c r="F47" s="56" t="s">
        <v>164</v>
      </c>
      <c r="G47" s="56" t="s">
        <v>167</v>
      </c>
      <c r="H47" s="57" t="s">
        <v>173</v>
      </c>
      <c r="I47" s="57" t="s">
        <v>577</v>
      </c>
      <c r="J47" s="57"/>
      <c r="K47" s="142" t="s">
        <v>191</v>
      </c>
      <c r="L47" s="112"/>
      <c r="M47" s="127"/>
      <c r="N47" s="116"/>
      <c r="O47" s="128"/>
      <c r="P47" s="128"/>
      <c r="Q47" s="129"/>
    </row>
    <row r="48" spans="1:17" ht="48">
      <c r="A48" s="42"/>
      <c r="B48" s="109">
        <v>9</v>
      </c>
      <c r="C48" s="56" t="s">
        <v>226</v>
      </c>
      <c r="D48" s="56" t="s">
        <v>727</v>
      </c>
      <c r="E48" s="57" t="s">
        <v>568</v>
      </c>
      <c r="F48" s="56" t="s">
        <v>164</v>
      </c>
      <c r="G48" s="56" t="s">
        <v>165</v>
      </c>
      <c r="H48" s="57" t="s">
        <v>175</v>
      </c>
      <c r="I48" s="57" t="s">
        <v>578</v>
      </c>
      <c r="J48" s="142"/>
      <c r="K48" s="143" t="s">
        <v>183</v>
      </c>
      <c r="L48" s="112"/>
      <c r="M48" s="127"/>
      <c r="N48" s="116"/>
      <c r="O48" s="128"/>
      <c r="P48" s="128"/>
      <c r="Q48" s="129"/>
    </row>
    <row r="49" spans="1:17" ht="48">
      <c r="A49" s="42"/>
      <c r="B49" s="109">
        <v>10</v>
      </c>
      <c r="C49" s="56" t="s">
        <v>226</v>
      </c>
      <c r="D49" s="56" t="s">
        <v>728</v>
      </c>
      <c r="E49" s="57" t="s">
        <v>568</v>
      </c>
      <c r="F49" s="56" t="s">
        <v>164</v>
      </c>
      <c r="G49" s="56" t="s">
        <v>165</v>
      </c>
      <c r="H49" s="57" t="s">
        <v>182</v>
      </c>
      <c r="I49" s="57" t="s">
        <v>579</v>
      </c>
      <c r="J49" s="142"/>
      <c r="K49" s="142" t="s">
        <v>190</v>
      </c>
      <c r="L49" s="112"/>
      <c r="M49" s="127"/>
      <c r="N49" s="116"/>
      <c r="O49" s="128"/>
      <c r="P49" s="128"/>
      <c r="Q49" s="129"/>
    </row>
    <row r="50" spans="1:17" ht="36">
      <c r="A50" s="42"/>
      <c r="B50" s="109">
        <v>11</v>
      </c>
      <c r="C50" s="56" t="s">
        <v>226</v>
      </c>
      <c r="D50" s="56" t="s">
        <v>729</v>
      </c>
      <c r="E50" s="57" t="s">
        <v>568</v>
      </c>
      <c r="F50" s="56" t="s">
        <v>176</v>
      </c>
      <c r="G50" s="56" t="s">
        <v>167</v>
      </c>
      <c r="H50" s="57" t="s">
        <v>182</v>
      </c>
      <c r="I50" s="57" t="s">
        <v>580</v>
      </c>
      <c r="J50" s="142"/>
      <c r="K50" s="142" t="s">
        <v>211</v>
      </c>
      <c r="L50" s="112"/>
      <c r="M50" s="127"/>
      <c r="N50" s="116"/>
      <c r="O50" s="128"/>
      <c r="P50" s="128"/>
      <c r="Q50" s="129"/>
    </row>
    <row r="51" spans="1:17" ht="72">
      <c r="A51" s="42"/>
      <c r="B51" s="109">
        <v>12</v>
      </c>
      <c r="C51" s="56" t="s">
        <v>226</v>
      </c>
      <c r="D51" s="56" t="s">
        <v>730</v>
      </c>
      <c r="E51" s="57" t="s">
        <v>568</v>
      </c>
      <c r="F51" s="56" t="s">
        <v>176</v>
      </c>
      <c r="G51" s="56" t="s">
        <v>167</v>
      </c>
      <c r="H51" s="57" t="s">
        <v>182</v>
      </c>
      <c r="I51" s="57" t="s">
        <v>581</v>
      </c>
      <c r="J51" s="142"/>
      <c r="K51" s="142" t="s">
        <v>212</v>
      </c>
      <c r="L51" s="112"/>
      <c r="M51" s="127"/>
      <c r="N51" s="116"/>
      <c r="O51" s="128"/>
      <c r="P51" s="128"/>
      <c r="Q51" s="129"/>
    </row>
    <row r="52" spans="1:17" ht="60">
      <c r="A52" s="42"/>
      <c r="B52" s="109">
        <v>13</v>
      </c>
      <c r="C52" s="56" t="s">
        <v>226</v>
      </c>
      <c r="D52" s="56" t="s">
        <v>731</v>
      </c>
      <c r="E52" s="57" t="s">
        <v>568</v>
      </c>
      <c r="F52" s="56" t="s">
        <v>176</v>
      </c>
      <c r="G52" s="56" t="s">
        <v>167</v>
      </c>
      <c r="H52" s="57" t="s">
        <v>182</v>
      </c>
      <c r="I52" s="57" t="s">
        <v>582</v>
      </c>
      <c r="J52" s="142"/>
      <c r="K52" s="142" t="s">
        <v>213</v>
      </c>
      <c r="L52" s="112"/>
      <c r="M52" s="127"/>
      <c r="N52" s="116"/>
      <c r="O52" s="128"/>
      <c r="P52" s="128"/>
      <c r="Q52" s="129"/>
    </row>
    <row r="53" spans="1:17" ht="36">
      <c r="A53" s="42"/>
      <c r="B53" s="109">
        <v>14</v>
      </c>
      <c r="C53" s="56" t="s">
        <v>226</v>
      </c>
      <c r="D53" s="56" t="s">
        <v>732</v>
      </c>
      <c r="E53" s="57" t="s">
        <v>568</v>
      </c>
      <c r="F53" s="56" t="s">
        <v>176</v>
      </c>
      <c r="G53" s="56" t="s">
        <v>167</v>
      </c>
      <c r="H53" s="57" t="s">
        <v>182</v>
      </c>
      <c r="I53" s="57" t="s">
        <v>583</v>
      </c>
      <c r="J53" s="142"/>
      <c r="K53" s="142" t="s">
        <v>214</v>
      </c>
      <c r="L53" s="112"/>
      <c r="M53" s="127"/>
      <c r="N53" s="116"/>
      <c r="O53" s="128"/>
      <c r="P53" s="128"/>
      <c r="Q53" s="129"/>
    </row>
    <row r="54" spans="1:17" ht="24">
      <c r="A54" s="42"/>
      <c r="B54" s="109">
        <v>15</v>
      </c>
      <c r="C54" s="56" t="s">
        <v>226</v>
      </c>
      <c r="D54" s="56" t="s">
        <v>733</v>
      </c>
      <c r="E54" s="57" t="s">
        <v>568</v>
      </c>
      <c r="F54" s="56" t="s">
        <v>176</v>
      </c>
      <c r="G54" s="56" t="s">
        <v>167</v>
      </c>
      <c r="H54" s="57" t="s">
        <v>182</v>
      </c>
      <c r="I54" s="57" t="s">
        <v>584</v>
      </c>
      <c r="J54" s="142"/>
      <c r="K54" s="142" t="s">
        <v>215</v>
      </c>
      <c r="L54" s="112"/>
      <c r="M54" s="127"/>
      <c r="N54" s="116"/>
      <c r="O54" s="128"/>
      <c r="P54" s="128"/>
      <c r="Q54" s="129"/>
    </row>
    <row r="55" spans="1:17" ht="24">
      <c r="A55" s="42"/>
      <c r="B55" s="109">
        <v>16</v>
      </c>
      <c r="C55" s="56" t="s">
        <v>226</v>
      </c>
      <c r="D55" s="56" t="s">
        <v>734</v>
      </c>
      <c r="E55" s="57" t="s">
        <v>568</v>
      </c>
      <c r="F55" s="56" t="s">
        <v>48</v>
      </c>
      <c r="G55" s="56" t="s">
        <v>54</v>
      </c>
      <c r="H55" s="57" t="s">
        <v>569</v>
      </c>
      <c r="I55" s="57" t="s">
        <v>570</v>
      </c>
      <c r="J55" s="142"/>
      <c r="K55" s="142" t="s">
        <v>168</v>
      </c>
      <c r="L55" s="112"/>
      <c r="M55" s="127"/>
      <c r="N55" s="116"/>
      <c r="O55" s="128"/>
      <c r="P55" s="128"/>
      <c r="Q55" s="129"/>
    </row>
    <row r="56" spans="1:17" ht="24">
      <c r="A56" s="42"/>
      <c r="B56" s="109">
        <v>17</v>
      </c>
      <c r="C56" s="56" t="s">
        <v>226</v>
      </c>
      <c r="D56" s="56" t="s">
        <v>735</v>
      </c>
      <c r="E56" s="57" t="s">
        <v>568</v>
      </c>
      <c r="F56" s="56" t="s">
        <v>48</v>
      </c>
      <c r="G56" s="56" t="s">
        <v>54</v>
      </c>
      <c r="H56" s="57" t="s">
        <v>166</v>
      </c>
      <c r="I56" s="57" t="s">
        <v>571</v>
      </c>
      <c r="J56" s="142" t="s">
        <v>169</v>
      </c>
      <c r="K56" s="142" t="s">
        <v>170</v>
      </c>
      <c r="L56" s="112"/>
      <c r="M56" s="127"/>
      <c r="N56" s="116"/>
      <c r="O56" s="128"/>
      <c r="P56" s="128"/>
      <c r="Q56" s="129"/>
    </row>
    <row r="57" spans="1:17" ht="48">
      <c r="A57" s="42"/>
      <c r="B57" s="109">
        <v>18</v>
      </c>
      <c r="C57" s="56" t="s">
        <v>226</v>
      </c>
      <c r="D57" s="56" t="s">
        <v>736</v>
      </c>
      <c r="E57" s="57" t="s">
        <v>568</v>
      </c>
      <c r="F57" s="56" t="s">
        <v>48</v>
      </c>
      <c r="G57" s="56" t="s">
        <v>54</v>
      </c>
      <c r="H57" s="57" t="s">
        <v>171</v>
      </c>
      <c r="I57" s="57" t="s">
        <v>572</v>
      </c>
      <c r="J57" s="57"/>
      <c r="K57" s="142" t="s">
        <v>174</v>
      </c>
      <c r="L57" s="112"/>
      <c r="M57" s="127"/>
      <c r="N57" s="116"/>
      <c r="O57" s="128"/>
      <c r="P57" s="128"/>
      <c r="Q57" s="129"/>
    </row>
    <row r="58" spans="1:17" ht="24">
      <c r="A58" s="42"/>
      <c r="B58" s="109">
        <v>19</v>
      </c>
      <c r="C58" s="56" t="s">
        <v>226</v>
      </c>
      <c r="D58" s="56" t="s">
        <v>737</v>
      </c>
      <c r="E58" s="57" t="s">
        <v>568</v>
      </c>
      <c r="F58" s="56" t="s">
        <v>48</v>
      </c>
      <c r="G58" s="56" t="s">
        <v>54</v>
      </c>
      <c r="H58" s="57" t="s">
        <v>172</v>
      </c>
      <c r="I58" s="57" t="s">
        <v>573</v>
      </c>
      <c r="J58" s="57"/>
      <c r="K58" s="142" t="s">
        <v>177</v>
      </c>
      <c r="L58" s="112"/>
      <c r="M58" s="127"/>
      <c r="N58" s="116"/>
      <c r="O58" s="128"/>
      <c r="P58" s="128"/>
      <c r="Q58" s="129"/>
    </row>
    <row r="59" spans="1:17" ht="24">
      <c r="A59" s="42"/>
      <c r="B59" s="109">
        <v>20</v>
      </c>
      <c r="C59" s="56" t="s">
        <v>226</v>
      </c>
      <c r="D59" s="56" t="s">
        <v>738</v>
      </c>
      <c r="E59" s="57" t="s">
        <v>568</v>
      </c>
      <c r="F59" s="56" t="s">
        <v>48</v>
      </c>
      <c r="G59" s="56" t="s">
        <v>54</v>
      </c>
      <c r="H59" s="57" t="s">
        <v>172</v>
      </c>
      <c r="I59" s="57" t="s">
        <v>574</v>
      </c>
      <c r="J59" s="57"/>
      <c r="K59" s="142" t="s">
        <v>178</v>
      </c>
      <c r="L59" s="112"/>
      <c r="M59" s="127"/>
      <c r="N59" s="116"/>
      <c r="O59" s="128"/>
      <c r="P59" s="128"/>
      <c r="Q59" s="129"/>
    </row>
    <row r="60" spans="1:17" ht="24">
      <c r="A60" s="42"/>
      <c r="B60" s="109">
        <v>21</v>
      </c>
      <c r="C60" s="56" t="s">
        <v>226</v>
      </c>
      <c r="D60" s="56" t="s">
        <v>739</v>
      </c>
      <c r="E60" s="57" t="s">
        <v>568</v>
      </c>
      <c r="F60" s="56" t="s">
        <v>48</v>
      </c>
      <c r="G60" s="56" t="s">
        <v>54</v>
      </c>
      <c r="H60" s="57" t="s">
        <v>172</v>
      </c>
      <c r="I60" s="57" t="s">
        <v>575</v>
      </c>
      <c r="J60" s="57"/>
      <c r="K60" s="142" t="s">
        <v>179</v>
      </c>
      <c r="L60" s="112"/>
      <c r="M60" s="127"/>
      <c r="N60" s="116"/>
      <c r="O60" s="128"/>
      <c r="P60" s="128"/>
      <c r="Q60" s="129"/>
    </row>
    <row r="61" spans="1:17" ht="36">
      <c r="A61" s="42"/>
      <c r="B61" s="109">
        <v>22</v>
      </c>
      <c r="C61" s="56" t="s">
        <v>226</v>
      </c>
      <c r="D61" s="56" t="s">
        <v>740</v>
      </c>
      <c r="E61" s="57" t="s">
        <v>568</v>
      </c>
      <c r="F61" s="56" t="s">
        <v>48</v>
      </c>
      <c r="G61" s="56" t="s">
        <v>54</v>
      </c>
      <c r="H61" s="57" t="s">
        <v>173</v>
      </c>
      <c r="I61" s="57" t="s">
        <v>576</v>
      </c>
      <c r="J61" s="57"/>
      <c r="K61" s="142" t="s">
        <v>192</v>
      </c>
      <c r="L61" s="112"/>
      <c r="M61" s="127"/>
      <c r="N61" s="116"/>
      <c r="O61" s="128"/>
      <c r="P61" s="128"/>
      <c r="Q61" s="129"/>
    </row>
    <row r="62" spans="1:17" ht="48">
      <c r="A62" s="42"/>
      <c r="B62" s="109">
        <v>23</v>
      </c>
      <c r="C62" s="56" t="s">
        <v>226</v>
      </c>
      <c r="D62" s="56" t="s">
        <v>741</v>
      </c>
      <c r="E62" s="57" t="s">
        <v>568</v>
      </c>
      <c r="F62" s="56" t="s">
        <v>48</v>
      </c>
      <c r="G62" s="56" t="s">
        <v>54</v>
      </c>
      <c r="H62" s="57" t="s">
        <v>173</v>
      </c>
      <c r="I62" s="57" t="s">
        <v>577</v>
      </c>
      <c r="J62" s="57"/>
      <c r="K62" s="142" t="s">
        <v>191</v>
      </c>
      <c r="L62" s="112"/>
      <c r="M62" s="127"/>
      <c r="N62" s="116"/>
      <c r="O62" s="128"/>
      <c r="P62" s="128"/>
      <c r="Q62" s="129"/>
    </row>
    <row r="63" spans="1:17" ht="48">
      <c r="A63" s="42"/>
      <c r="B63" s="109">
        <v>24</v>
      </c>
      <c r="C63" s="56" t="s">
        <v>226</v>
      </c>
      <c r="D63" s="56" t="s">
        <v>742</v>
      </c>
      <c r="E63" s="57" t="s">
        <v>568</v>
      </c>
      <c r="F63" s="56" t="s">
        <v>48</v>
      </c>
      <c r="G63" s="56" t="s">
        <v>90</v>
      </c>
      <c r="H63" s="57" t="s">
        <v>175</v>
      </c>
      <c r="I63" s="57" t="s">
        <v>578</v>
      </c>
      <c r="J63" s="142"/>
      <c r="K63" s="143" t="s">
        <v>183</v>
      </c>
      <c r="L63" s="112"/>
      <c r="M63" s="127"/>
      <c r="N63" s="116"/>
      <c r="O63" s="128"/>
      <c r="P63" s="128"/>
      <c r="Q63" s="129"/>
    </row>
    <row r="64" spans="1:17" ht="48">
      <c r="A64" s="42"/>
      <c r="B64" s="109">
        <v>25</v>
      </c>
      <c r="C64" s="56" t="s">
        <v>226</v>
      </c>
      <c r="D64" s="56" t="s">
        <v>743</v>
      </c>
      <c r="E64" s="57" t="s">
        <v>568</v>
      </c>
      <c r="F64" s="56" t="s">
        <v>48</v>
      </c>
      <c r="G64" s="56" t="s">
        <v>90</v>
      </c>
      <c r="H64" s="57" t="s">
        <v>182</v>
      </c>
      <c r="I64" s="57" t="s">
        <v>579</v>
      </c>
      <c r="J64" s="142"/>
      <c r="K64" s="142" t="s">
        <v>190</v>
      </c>
      <c r="L64" s="112"/>
      <c r="M64" s="127"/>
      <c r="N64" s="116"/>
      <c r="O64" s="128"/>
      <c r="P64" s="128"/>
      <c r="Q64" s="129"/>
    </row>
    <row r="65" spans="1:17" ht="36">
      <c r="A65" s="42"/>
      <c r="B65" s="109">
        <v>26</v>
      </c>
      <c r="C65" s="56" t="s">
        <v>226</v>
      </c>
      <c r="D65" s="56" t="s">
        <v>744</v>
      </c>
      <c r="E65" s="57" t="s">
        <v>568</v>
      </c>
      <c r="F65" s="56" t="s">
        <v>49</v>
      </c>
      <c r="G65" s="56" t="s">
        <v>54</v>
      </c>
      <c r="H65" s="57" t="s">
        <v>182</v>
      </c>
      <c r="I65" s="57" t="s">
        <v>580</v>
      </c>
      <c r="J65" s="142"/>
      <c r="K65" s="142" t="s">
        <v>211</v>
      </c>
      <c r="L65" s="112"/>
      <c r="M65" s="127"/>
      <c r="N65" s="116"/>
      <c r="O65" s="128"/>
      <c r="P65" s="128"/>
      <c r="Q65" s="129"/>
    </row>
    <row r="66" spans="1:17" ht="72">
      <c r="A66" s="42"/>
      <c r="B66" s="109">
        <v>27</v>
      </c>
      <c r="C66" s="56" t="s">
        <v>226</v>
      </c>
      <c r="D66" s="56" t="s">
        <v>745</v>
      </c>
      <c r="E66" s="57" t="s">
        <v>568</v>
      </c>
      <c r="F66" s="56" t="s">
        <v>49</v>
      </c>
      <c r="G66" s="56" t="s">
        <v>54</v>
      </c>
      <c r="H66" s="57" t="s">
        <v>182</v>
      </c>
      <c r="I66" s="57" t="s">
        <v>581</v>
      </c>
      <c r="J66" s="142"/>
      <c r="K66" s="142" t="s">
        <v>212</v>
      </c>
      <c r="L66" s="112"/>
      <c r="M66" s="127"/>
      <c r="N66" s="116"/>
      <c r="O66" s="128"/>
      <c r="P66" s="128"/>
      <c r="Q66" s="129"/>
    </row>
    <row r="67" spans="1:17" ht="60">
      <c r="A67" s="42"/>
      <c r="B67" s="109">
        <v>28</v>
      </c>
      <c r="C67" s="56" t="s">
        <v>226</v>
      </c>
      <c r="D67" s="56" t="s">
        <v>746</v>
      </c>
      <c r="E67" s="57" t="s">
        <v>568</v>
      </c>
      <c r="F67" s="56" t="s">
        <v>49</v>
      </c>
      <c r="G67" s="56" t="s">
        <v>54</v>
      </c>
      <c r="H67" s="57" t="s">
        <v>182</v>
      </c>
      <c r="I67" s="57" t="s">
        <v>582</v>
      </c>
      <c r="J67" s="142"/>
      <c r="K67" s="142" t="s">
        <v>213</v>
      </c>
      <c r="L67" s="112"/>
      <c r="M67" s="127"/>
      <c r="N67" s="116"/>
      <c r="O67" s="128"/>
      <c r="P67" s="128"/>
      <c r="Q67" s="129"/>
    </row>
    <row r="68" spans="1:17" ht="36">
      <c r="A68" s="42"/>
      <c r="B68" s="109">
        <v>29</v>
      </c>
      <c r="C68" s="56" t="s">
        <v>226</v>
      </c>
      <c r="D68" s="56" t="s">
        <v>747</v>
      </c>
      <c r="E68" s="57" t="s">
        <v>568</v>
      </c>
      <c r="F68" s="56" t="s">
        <v>49</v>
      </c>
      <c r="G68" s="56" t="s">
        <v>54</v>
      </c>
      <c r="H68" s="57" t="s">
        <v>182</v>
      </c>
      <c r="I68" s="57" t="s">
        <v>583</v>
      </c>
      <c r="J68" s="142"/>
      <c r="K68" s="142" t="s">
        <v>214</v>
      </c>
      <c r="L68" s="112"/>
      <c r="M68" s="127"/>
      <c r="N68" s="116"/>
      <c r="O68" s="128"/>
      <c r="P68" s="128"/>
      <c r="Q68" s="129"/>
    </row>
    <row r="69" spans="1:17" ht="24">
      <c r="A69" s="42"/>
      <c r="B69" s="109">
        <v>30</v>
      </c>
      <c r="C69" s="56" t="s">
        <v>226</v>
      </c>
      <c r="D69" s="56" t="s">
        <v>748</v>
      </c>
      <c r="E69" s="57" t="s">
        <v>568</v>
      </c>
      <c r="F69" s="56" t="s">
        <v>49</v>
      </c>
      <c r="G69" s="56" t="s">
        <v>54</v>
      </c>
      <c r="H69" s="57" t="s">
        <v>182</v>
      </c>
      <c r="I69" s="57" t="s">
        <v>584</v>
      </c>
      <c r="J69" s="142"/>
      <c r="K69" s="142" t="s">
        <v>215</v>
      </c>
      <c r="L69" s="112"/>
      <c r="M69" s="127"/>
      <c r="N69" s="116"/>
      <c r="O69" s="128"/>
      <c r="P69" s="128"/>
      <c r="Q69" s="129"/>
    </row>
    <row r="70" spans="1:17" ht="24">
      <c r="A70" s="42"/>
      <c r="B70" s="109">
        <v>31</v>
      </c>
      <c r="C70" s="56" t="s">
        <v>244</v>
      </c>
      <c r="D70" s="56" t="s">
        <v>749</v>
      </c>
      <c r="E70" s="57" t="s">
        <v>568</v>
      </c>
      <c r="F70" s="56" t="s">
        <v>59</v>
      </c>
      <c r="G70" s="56" t="s">
        <v>54</v>
      </c>
      <c r="H70" s="57" t="s">
        <v>569</v>
      </c>
      <c r="I70" s="57" t="s">
        <v>570</v>
      </c>
      <c r="J70" s="142"/>
      <c r="K70" s="142" t="s">
        <v>168</v>
      </c>
      <c r="L70" s="112"/>
      <c r="M70" s="127"/>
      <c r="N70" s="116"/>
      <c r="O70" s="128"/>
      <c r="P70" s="128"/>
      <c r="Q70" s="129"/>
    </row>
    <row r="71" spans="1:17" ht="24">
      <c r="A71" s="42"/>
      <c r="B71" s="109">
        <v>32</v>
      </c>
      <c r="C71" s="56" t="s">
        <v>244</v>
      </c>
      <c r="D71" s="56" t="s">
        <v>750</v>
      </c>
      <c r="E71" s="57" t="s">
        <v>568</v>
      </c>
      <c r="F71" s="56" t="s">
        <v>59</v>
      </c>
      <c r="G71" s="56" t="s">
        <v>54</v>
      </c>
      <c r="H71" s="57" t="s">
        <v>166</v>
      </c>
      <c r="I71" s="57" t="s">
        <v>571</v>
      </c>
      <c r="J71" s="142" t="s">
        <v>169</v>
      </c>
      <c r="K71" s="142" t="s">
        <v>170</v>
      </c>
      <c r="L71" s="112"/>
      <c r="M71" s="127"/>
      <c r="N71" s="116"/>
      <c r="O71" s="128"/>
      <c r="P71" s="128"/>
      <c r="Q71" s="129"/>
    </row>
    <row r="72" spans="1:17" ht="48">
      <c r="A72" s="42"/>
      <c r="B72" s="109">
        <v>33</v>
      </c>
      <c r="C72" s="56" t="s">
        <v>244</v>
      </c>
      <c r="D72" s="56" t="s">
        <v>751</v>
      </c>
      <c r="E72" s="57" t="s">
        <v>568</v>
      </c>
      <c r="F72" s="56" t="s">
        <v>59</v>
      </c>
      <c r="G72" s="56" t="s">
        <v>54</v>
      </c>
      <c r="H72" s="57" t="s">
        <v>171</v>
      </c>
      <c r="I72" s="57" t="s">
        <v>572</v>
      </c>
      <c r="J72" s="57"/>
      <c r="K72" s="142" t="s">
        <v>174</v>
      </c>
      <c r="L72" s="112"/>
      <c r="M72" s="127"/>
      <c r="N72" s="116"/>
      <c r="O72" s="128"/>
      <c r="P72" s="128"/>
      <c r="Q72" s="129"/>
    </row>
    <row r="73" spans="1:17" ht="24">
      <c r="A73" s="42"/>
      <c r="B73" s="109">
        <v>34</v>
      </c>
      <c r="C73" s="56" t="s">
        <v>244</v>
      </c>
      <c r="D73" s="56" t="s">
        <v>752</v>
      </c>
      <c r="E73" s="57" t="s">
        <v>568</v>
      </c>
      <c r="F73" s="56" t="s">
        <v>59</v>
      </c>
      <c r="G73" s="56" t="s">
        <v>54</v>
      </c>
      <c r="H73" s="57" t="s">
        <v>172</v>
      </c>
      <c r="I73" s="57" t="s">
        <v>573</v>
      </c>
      <c r="J73" s="57"/>
      <c r="K73" s="142" t="s">
        <v>177</v>
      </c>
      <c r="L73" s="112"/>
      <c r="M73" s="127"/>
      <c r="N73" s="116"/>
      <c r="O73" s="128"/>
      <c r="P73" s="128"/>
      <c r="Q73" s="129"/>
    </row>
    <row r="74" spans="1:17" ht="24">
      <c r="A74" s="42"/>
      <c r="B74" s="109">
        <v>35</v>
      </c>
      <c r="C74" s="56" t="s">
        <v>244</v>
      </c>
      <c r="D74" s="56" t="s">
        <v>753</v>
      </c>
      <c r="E74" s="57" t="s">
        <v>568</v>
      </c>
      <c r="F74" s="56" t="s">
        <v>59</v>
      </c>
      <c r="G74" s="56" t="s">
        <v>54</v>
      </c>
      <c r="H74" s="57" t="s">
        <v>172</v>
      </c>
      <c r="I74" s="57" t="s">
        <v>574</v>
      </c>
      <c r="J74" s="57"/>
      <c r="K74" s="142" t="s">
        <v>178</v>
      </c>
      <c r="L74" s="112"/>
      <c r="M74" s="127"/>
      <c r="N74" s="116"/>
      <c r="O74" s="128"/>
      <c r="P74" s="128"/>
      <c r="Q74" s="129"/>
    </row>
    <row r="75" spans="1:17" ht="24">
      <c r="A75" s="42"/>
      <c r="B75" s="109">
        <v>36</v>
      </c>
      <c r="C75" s="56" t="s">
        <v>244</v>
      </c>
      <c r="D75" s="56" t="s">
        <v>754</v>
      </c>
      <c r="E75" s="57" t="s">
        <v>568</v>
      </c>
      <c r="F75" s="56" t="s">
        <v>59</v>
      </c>
      <c r="G75" s="56" t="s">
        <v>54</v>
      </c>
      <c r="H75" s="57" t="s">
        <v>172</v>
      </c>
      <c r="I75" s="57" t="s">
        <v>575</v>
      </c>
      <c r="J75" s="57"/>
      <c r="K75" s="142" t="s">
        <v>179</v>
      </c>
      <c r="L75" s="112"/>
      <c r="M75" s="127"/>
      <c r="N75" s="116"/>
      <c r="O75" s="128"/>
      <c r="P75" s="128"/>
      <c r="Q75" s="129"/>
    </row>
    <row r="76" spans="1:17" ht="36">
      <c r="A76" s="42"/>
      <c r="B76" s="109">
        <v>37</v>
      </c>
      <c r="C76" s="56" t="s">
        <v>244</v>
      </c>
      <c r="D76" s="56" t="s">
        <v>755</v>
      </c>
      <c r="E76" s="57" t="s">
        <v>568</v>
      </c>
      <c r="F76" s="56" t="s">
        <v>59</v>
      </c>
      <c r="G76" s="56" t="s">
        <v>54</v>
      </c>
      <c r="H76" s="57" t="s">
        <v>173</v>
      </c>
      <c r="I76" s="57" t="s">
        <v>576</v>
      </c>
      <c r="J76" s="57"/>
      <c r="K76" s="142" t="s">
        <v>192</v>
      </c>
      <c r="L76" s="112"/>
      <c r="M76" s="127"/>
      <c r="N76" s="116"/>
      <c r="O76" s="128"/>
      <c r="P76" s="128"/>
      <c r="Q76" s="129"/>
    </row>
    <row r="77" spans="1:17" ht="48">
      <c r="A77" s="42"/>
      <c r="B77" s="109">
        <v>38</v>
      </c>
      <c r="C77" s="56" t="s">
        <v>244</v>
      </c>
      <c r="D77" s="56" t="s">
        <v>756</v>
      </c>
      <c r="E77" s="57" t="s">
        <v>568</v>
      </c>
      <c r="F77" s="56" t="s">
        <v>59</v>
      </c>
      <c r="G77" s="56" t="s">
        <v>54</v>
      </c>
      <c r="H77" s="57" t="s">
        <v>173</v>
      </c>
      <c r="I77" s="57" t="s">
        <v>577</v>
      </c>
      <c r="J77" s="57"/>
      <c r="K77" s="142" t="s">
        <v>191</v>
      </c>
      <c r="L77" s="112"/>
      <c r="M77" s="127"/>
      <c r="N77" s="116"/>
      <c r="O77" s="128"/>
      <c r="P77" s="128"/>
      <c r="Q77" s="129"/>
    </row>
    <row r="78" spans="1:17" ht="48">
      <c r="A78" s="42"/>
      <c r="B78" s="109">
        <v>39</v>
      </c>
      <c r="C78" s="56" t="s">
        <v>244</v>
      </c>
      <c r="D78" s="56" t="s">
        <v>757</v>
      </c>
      <c r="E78" s="57" t="s">
        <v>568</v>
      </c>
      <c r="F78" s="56" t="s">
        <v>59</v>
      </c>
      <c r="G78" s="56" t="s">
        <v>90</v>
      </c>
      <c r="H78" s="57" t="s">
        <v>175</v>
      </c>
      <c r="I78" s="57" t="s">
        <v>578</v>
      </c>
      <c r="J78" s="142"/>
      <c r="K78" s="143" t="s">
        <v>183</v>
      </c>
      <c r="L78" s="112"/>
      <c r="M78" s="127"/>
      <c r="N78" s="116"/>
      <c r="O78" s="128"/>
      <c r="P78" s="128"/>
      <c r="Q78" s="129"/>
    </row>
    <row r="79" spans="1:17" ht="48">
      <c r="A79" s="42"/>
      <c r="B79" s="109">
        <v>40</v>
      </c>
      <c r="C79" s="56" t="s">
        <v>244</v>
      </c>
      <c r="D79" s="56" t="s">
        <v>758</v>
      </c>
      <c r="E79" s="57" t="s">
        <v>568</v>
      </c>
      <c r="F79" s="56" t="s">
        <v>59</v>
      </c>
      <c r="G79" s="56" t="s">
        <v>90</v>
      </c>
      <c r="H79" s="57" t="s">
        <v>182</v>
      </c>
      <c r="I79" s="57" t="s">
        <v>579</v>
      </c>
      <c r="J79" s="142"/>
      <c r="K79" s="142" t="s">
        <v>190</v>
      </c>
      <c r="L79" s="112"/>
      <c r="M79" s="127"/>
      <c r="N79" s="116"/>
      <c r="O79" s="128"/>
      <c r="P79" s="128"/>
      <c r="Q79" s="129"/>
    </row>
    <row r="80" spans="1:17" ht="36">
      <c r="A80" s="42"/>
      <c r="B80" s="109">
        <v>41</v>
      </c>
      <c r="C80" s="56" t="s">
        <v>244</v>
      </c>
      <c r="D80" s="56" t="s">
        <v>759</v>
      </c>
      <c r="E80" s="57" t="s">
        <v>568</v>
      </c>
      <c r="F80" s="56" t="s">
        <v>49</v>
      </c>
      <c r="G80" s="56" t="s">
        <v>54</v>
      </c>
      <c r="H80" s="57" t="s">
        <v>182</v>
      </c>
      <c r="I80" s="57" t="s">
        <v>580</v>
      </c>
      <c r="J80" s="142"/>
      <c r="K80" s="142" t="s">
        <v>211</v>
      </c>
      <c r="L80" s="112"/>
      <c r="M80" s="127"/>
      <c r="N80" s="116"/>
      <c r="O80" s="128"/>
      <c r="P80" s="128"/>
      <c r="Q80" s="129"/>
    </row>
    <row r="81" spans="1:17" ht="72">
      <c r="A81" s="42"/>
      <c r="B81" s="109">
        <v>42</v>
      </c>
      <c r="C81" s="56" t="s">
        <v>244</v>
      </c>
      <c r="D81" s="56" t="s">
        <v>760</v>
      </c>
      <c r="E81" s="57" t="s">
        <v>568</v>
      </c>
      <c r="F81" s="56" t="s">
        <v>49</v>
      </c>
      <c r="G81" s="56" t="s">
        <v>54</v>
      </c>
      <c r="H81" s="57" t="s">
        <v>182</v>
      </c>
      <c r="I81" s="57" t="s">
        <v>581</v>
      </c>
      <c r="J81" s="142"/>
      <c r="K81" s="142" t="s">
        <v>212</v>
      </c>
      <c r="L81" s="112"/>
      <c r="M81" s="127"/>
      <c r="N81" s="116"/>
      <c r="O81" s="128"/>
      <c r="P81" s="128"/>
      <c r="Q81" s="129"/>
    </row>
    <row r="82" spans="1:17" ht="60">
      <c r="A82" s="42"/>
      <c r="B82" s="109">
        <v>43</v>
      </c>
      <c r="C82" s="56" t="s">
        <v>244</v>
      </c>
      <c r="D82" s="56" t="s">
        <v>761</v>
      </c>
      <c r="E82" s="57" t="s">
        <v>568</v>
      </c>
      <c r="F82" s="56" t="s">
        <v>49</v>
      </c>
      <c r="G82" s="56" t="s">
        <v>54</v>
      </c>
      <c r="H82" s="57" t="s">
        <v>182</v>
      </c>
      <c r="I82" s="57" t="s">
        <v>582</v>
      </c>
      <c r="J82" s="142"/>
      <c r="K82" s="142" t="s">
        <v>213</v>
      </c>
      <c r="L82" s="112"/>
      <c r="M82" s="127"/>
      <c r="N82" s="116"/>
      <c r="O82" s="128"/>
      <c r="P82" s="128"/>
      <c r="Q82" s="129"/>
    </row>
    <row r="83" spans="1:17" ht="36">
      <c r="A83" s="42"/>
      <c r="B83" s="109">
        <v>44</v>
      </c>
      <c r="C83" s="56" t="s">
        <v>244</v>
      </c>
      <c r="D83" s="56" t="s">
        <v>762</v>
      </c>
      <c r="E83" s="57" t="s">
        <v>568</v>
      </c>
      <c r="F83" s="56" t="s">
        <v>49</v>
      </c>
      <c r="G83" s="56" t="s">
        <v>54</v>
      </c>
      <c r="H83" s="57" t="s">
        <v>182</v>
      </c>
      <c r="I83" s="57" t="s">
        <v>583</v>
      </c>
      <c r="J83" s="142"/>
      <c r="K83" s="142" t="s">
        <v>214</v>
      </c>
      <c r="L83" s="112"/>
      <c r="M83" s="127"/>
      <c r="N83" s="116"/>
      <c r="O83" s="128"/>
      <c r="P83" s="128"/>
      <c r="Q83" s="129"/>
    </row>
    <row r="84" spans="1:17" ht="24">
      <c r="A84" s="42"/>
      <c r="B84" s="109">
        <v>45</v>
      </c>
      <c r="C84" s="56" t="s">
        <v>244</v>
      </c>
      <c r="D84" s="56" t="s">
        <v>763</v>
      </c>
      <c r="E84" s="57" t="s">
        <v>568</v>
      </c>
      <c r="F84" s="56" t="s">
        <v>49</v>
      </c>
      <c r="G84" s="56" t="s">
        <v>54</v>
      </c>
      <c r="H84" s="57" t="s">
        <v>182</v>
      </c>
      <c r="I84" s="57" t="s">
        <v>584</v>
      </c>
      <c r="J84" s="142"/>
      <c r="K84" s="142" t="s">
        <v>215</v>
      </c>
      <c r="L84" s="112"/>
      <c r="M84" s="127"/>
      <c r="N84" s="116"/>
      <c r="O84" s="128"/>
      <c r="P84" s="128"/>
      <c r="Q84" s="129"/>
    </row>
    <row r="85" spans="1:17" ht="24">
      <c r="A85" s="42"/>
      <c r="B85" s="109">
        <v>46</v>
      </c>
      <c r="C85" s="56" t="s">
        <v>244</v>
      </c>
      <c r="D85" s="56" t="s">
        <v>764</v>
      </c>
      <c r="E85" s="57" t="s">
        <v>568</v>
      </c>
      <c r="F85" s="56" t="s">
        <v>48</v>
      </c>
      <c r="G85" s="56" t="s">
        <v>54</v>
      </c>
      <c r="H85" s="57" t="s">
        <v>569</v>
      </c>
      <c r="I85" s="57" t="s">
        <v>570</v>
      </c>
      <c r="J85" s="142"/>
      <c r="K85" s="142" t="s">
        <v>168</v>
      </c>
      <c r="L85" s="112"/>
      <c r="M85" s="127"/>
      <c r="N85" s="116"/>
      <c r="O85" s="128"/>
      <c r="P85" s="128"/>
      <c r="Q85" s="129"/>
    </row>
    <row r="86" spans="1:17" ht="24">
      <c r="A86" s="42"/>
      <c r="B86" s="109">
        <v>47</v>
      </c>
      <c r="C86" s="56" t="s">
        <v>244</v>
      </c>
      <c r="D86" s="56" t="s">
        <v>765</v>
      </c>
      <c r="E86" s="57" t="s">
        <v>568</v>
      </c>
      <c r="F86" s="56" t="s">
        <v>48</v>
      </c>
      <c r="G86" s="56" t="s">
        <v>54</v>
      </c>
      <c r="H86" s="57" t="s">
        <v>166</v>
      </c>
      <c r="I86" s="57" t="s">
        <v>571</v>
      </c>
      <c r="J86" s="142" t="s">
        <v>169</v>
      </c>
      <c r="K86" s="142" t="s">
        <v>170</v>
      </c>
      <c r="L86" s="112"/>
      <c r="M86" s="127"/>
      <c r="N86" s="116"/>
      <c r="O86" s="128"/>
      <c r="P86" s="128"/>
      <c r="Q86" s="129"/>
    </row>
    <row r="87" spans="1:17" ht="48">
      <c r="A87" s="42"/>
      <c r="B87" s="109">
        <v>48</v>
      </c>
      <c r="C87" s="56" t="s">
        <v>244</v>
      </c>
      <c r="D87" s="56" t="s">
        <v>766</v>
      </c>
      <c r="E87" s="57" t="s">
        <v>568</v>
      </c>
      <c r="F87" s="56" t="s">
        <v>48</v>
      </c>
      <c r="G87" s="56" t="s">
        <v>54</v>
      </c>
      <c r="H87" s="57" t="s">
        <v>171</v>
      </c>
      <c r="I87" s="57" t="s">
        <v>572</v>
      </c>
      <c r="J87" s="57"/>
      <c r="K87" s="142" t="s">
        <v>174</v>
      </c>
      <c r="L87" s="112"/>
      <c r="M87" s="127"/>
      <c r="N87" s="116"/>
      <c r="O87" s="128"/>
      <c r="P87" s="128"/>
      <c r="Q87" s="129"/>
    </row>
    <row r="88" spans="1:17" ht="24">
      <c r="A88" s="42"/>
      <c r="B88" s="109">
        <v>49</v>
      </c>
      <c r="C88" s="56" t="s">
        <v>244</v>
      </c>
      <c r="D88" s="56" t="s">
        <v>767</v>
      </c>
      <c r="E88" s="57" t="s">
        <v>568</v>
      </c>
      <c r="F88" s="56" t="s">
        <v>48</v>
      </c>
      <c r="G88" s="56" t="s">
        <v>54</v>
      </c>
      <c r="H88" s="57" t="s">
        <v>172</v>
      </c>
      <c r="I88" s="57" t="s">
        <v>573</v>
      </c>
      <c r="J88" s="57"/>
      <c r="K88" s="142" t="s">
        <v>177</v>
      </c>
      <c r="L88" s="112"/>
      <c r="M88" s="127"/>
      <c r="N88" s="116"/>
      <c r="O88" s="128"/>
      <c r="P88" s="128"/>
      <c r="Q88" s="129"/>
    </row>
    <row r="89" spans="1:17" ht="24">
      <c r="A89" s="42"/>
      <c r="B89" s="109">
        <v>50</v>
      </c>
      <c r="C89" s="56" t="s">
        <v>244</v>
      </c>
      <c r="D89" s="56" t="s">
        <v>768</v>
      </c>
      <c r="E89" s="57" t="s">
        <v>568</v>
      </c>
      <c r="F89" s="56" t="s">
        <v>48</v>
      </c>
      <c r="G89" s="56" t="s">
        <v>54</v>
      </c>
      <c r="H89" s="57" t="s">
        <v>172</v>
      </c>
      <c r="I89" s="57" t="s">
        <v>574</v>
      </c>
      <c r="J89" s="57"/>
      <c r="K89" s="142" t="s">
        <v>178</v>
      </c>
      <c r="L89" s="112"/>
      <c r="M89" s="127"/>
      <c r="N89" s="116"/>
      <c r="O89" s="128"/>
      <c r="P89" s="128"/>
      <c r="Q89" s="129"/>
    </row>
    <row r="90" spans="1:17" ht="24">
      <c r="A90" s="42"/>
      <c r="B90" s="109">
        <v>51</v>
      </c>
      <c r="C90" s="56" t="s">
        <v>244</v>
      </c>
      <c r="D90" s="56" t="s">
        <v>769</v>
      </c>
      <c r="E90" s="57" t="s">
        <v>568</v>
      </c>
      <c r="F90" s="56" t="s">
        <v>48</v>
      </c>
      <c r="G90" s="56" t="s">
        <v>54</v>
      </c>
      <c r="H90" s="57" t="s">
        <v>172</v>
      </c>
      <c r="I90" s="57" t="s">
        <v>575</v>
      </c>
      <c r="J90" s="57"/>
      <c r="K90" s="142" t="s">
        <v>179</v>
      </c>
      <c r="L90" s="112"/>
      <c r="M90" s="127"/>
      <c r="N90" s="116"/>
      <c r="O90" s="128"/>
      <c r="P90" s="128"/>
      <c r="Q90" s="129"/>
    </row>
    <row r="91" spans="1:17" ht="36">
      <c r="A91" s="42"/>
      <c r="B91" s="109">
        <v>52</v>
      </c>
      <c r="C91" s="56" t="s">
        <v>244</v>
      </c>
      <c r="D91" s="56" t="s">
        <v>770</v>
      </c>
      <c r="E91" s="57" t="s">
        <v>568</v>
      </c>
      <c r="F91" s="56" t="s">
        <v>48</v>
      </c>
      <c r="G91" s="56" t="s">
        <v>54</v>
      </c>
      <c r="H91" s="57" t="s">
        <v>173</v>
      </c>
      <c r="I91" s="57" t="s">
        <v>576</v>
      </c>
      <c r="J91" s="57"/>
      <c r="K91" s="142" t="s">
        <v>192</v>
      </c>
      <c r="L91" s="112"/>
      <c r="M91" s="127"/>
      <c r="N91" s="116"/>
      <c r="O91" s="128"/>
      <c r="P91" s="128"/>
      <c r="Q91" s="129"/>
    </row>
    <row r="92" spans="1:17" ht="48">
      <c r="A92" s="42"/>
      <c r="B92" s="109">
        <v>53</v>
      </c>
      <c r="C92" s="56" t="s">
        <v>244</v>
      </c>
      <c r="D92" s="56" t="s">
        <v>771</v>
      </c>
      <c r="E92" s="57" t="s">
        <v>568</v>
      </c>
      <c r="F92" s="56" t="s">
        <v>48</v>
      </c>
      <c r="G92" s="56" t="s">
        <v>54</v>
      </c>
      <c r="H92" s="57" t="s">
        <v>173</v>
      </c>
      <c r="I92" s="57" t="s">
        <v>577</v>
      </c>
      <c r="J92" s="57"/>
      <c r="K92" s="142" t="s">
        <v>191</v>
      </c>
      <c r="L92" s="112"/>
      <c r="M92" s="127"/>
      <c r="N92" s="116"/>
      <c r="O92" s="128"/>
      <c r="P92" s="128"/>
      <c r="Q92" s="129"/>
    </row>
    <row r="93" spans="1:17" ht="48">
      <c r="A93" s="42"/>
      <c r="B93" s="109">
        <v>54</v>
      </c>
      <c r="C93" s="56" t="s">
        <v>244</v>
      </c>
      <c r="D93" s="56" t="s">
        <v>772</v>
      </c>
      <c r="E93" s="57" t="s">
        <v>568</v>
      </c>
      <c r="F93" s="56" t="s">
        <v>48</v>
      </c>
      <c r="G93" s="56" t="s">
        <v>90</v>
      </c>
      <c r="H93" s="57" t="s">
        <v>175</v>
      </c>
      <c r="I93" s="57" t="s">
        <v>578</v>
      </c>
      <c r="J93" s="142"/>
      <c r="K93" s="143" t="s">
        <v>183</v>
      </c>
      <c r="L93" s="112"/>
      <c r="M93" s="127"/>
      <c r="N93" s="116"/>
      <c r="O93" s="128"/>
      <c r="P93" s="128"/>
      <c r="Q93" s="129"/>
    </row>
    <row r="94" spans="1:17" ht="48">
      <c r="A94" s="42"/>
      <c r="B94" s="109">
        <v>55</v>
      </c>
      <c r="C94" s="56" t="s">
        <v>244</v>
      </c>
      <c r="D94" s="56" t="s">
        <v>773</v>
      </c>
      <c r="E94" s="57" t="s">
        <v>568</v>
      </c>
      <c r="F94" s="56" t="s">
        <v>48</v>
      </c>
      <c r="G94" s="56" t="s">
        <v>90</v>
      </c>
      <c r="H94" s="57" t="s">
        <v>182</v>
      </c>
      <c r="I94" s="57" t="s">
        <v>579</v>
      </c>
      <c r="J94" s="142"/>
      <c r="K94" s="142" t="s">
        <v>190</v>
      </c>
      <c r="L94" s="112"/>
      <c r="M94" s="127"/>
      <c r="N94" s="116"/>
      <c r="O94" s="128"/>
      <c r="P94" s="128"/>
      <c r="Q94" s="129"/>
    </row>
    <row r="95" spans="1:17" ht="36">
      <c r="A95" s="42"/>
      <c r="B95" s="109">
        <v>56</v>
      </c>
      <c r="C95" s="56" t="s">
        <v>244</v>
      </c>
      <c r="D95" s="56" t="s">
        <v>774</v>
      </c>
      <c r="E95" s="57" t="s">
        <v>568</v>
      </c>
      <c r="F95" s="56" t="s">
        <v>49</v>
      </c>
      <c r="G95" s="56" t="s">
        <v>54</v>
      </c>
      <c r="H95" s="57" t="s">
        <v>182</v>
      </c>
      <c r="I95" s="57" t="s">
        <v>580</v>
      </c>
      <c r="J95" s="142"/>
      <c r="K95" s="142" t="s">
        <v>211</v>
      </c>
      <c r="L95" s="112"/>
      <c r="M95" s="127"/>
      <c r="N95" s="116"/>
      <c r="O95" s="128"/>
      <c r="P95" s="128"/>
      <c r="Q95" s="129"/>
    </row>
    <row r="96" spans="1:17" ht="72">
      <c r="A96" s="42"/>
      <c r="B96" s="109">
        <v>57</v>
      </c>
      <c r="C96" s="56" t="s">
        <v>244</v>
      </c>
      <c r="D96" s="56" t="s">
        <v>775</v>
      </c>
      <c r="E96" s="57" t="s">
        <v>568</v>
      </c>
      <c r="F96" s="56" t="s">
        <v>49</v>
      </c>
      <c r="G96" s="56" t="s">
        <v>54</v>
      </c>
      <c r="H96" s="57" t="s">
        <v>182</v>
      </c>
      <c r="I96" s="57" t="s">
        <v>581</v>
      </c>
      <c r="J96" s="142"/>
      <c r="K96" s="142" t="s">
        <v>212</v>
      </c>
      <c r="L96" s="112"/>
      <c r="M96" s="127"/>
      <c r="N96" s="116"/>
      <c r="O96" s="128"/>
      <c r="P96" s="128"/>
      <c r="Q96" s="129"/>
    </row>
    <row r="97" spans="1:17" ht="60">
      <c r="A97" s="42"/>
      <c r="B97" s="109">
        <v>58</v>
      </c>
      <c r="C97" s="56" t="s">
        <v>244</v>
      </c>
      <c r="D97" s="56" t="s">
        <v>776</v>
      </c>
      <c r="E97" s="57" t="s">
        <v>568</v>
      </c>
      <c r="F97" s="56" t="s">
        <v>49</v>
      </c>
      <c r="G97" s="56" t="s">
        <v>54</v>
      </c>
      <c r="H97" s="57" t="s">
        <v>182</v>
      </c>
      <c r="I97" s="57" t="s">
        <v>582</v>
      </c>
      <c r="J97" s="142"/>
      <c r="K97" s="142" t="s">
        <v>213</v>
      </c>
      <c r="L97" s="112"/>
      <c r="M97" s="127"/>
      <c r="N97" s="116"/>
      <c r="O97" s="128"/>
      <c r="P97" s="128"/>
      <c r="Q97" s="129"/>
    </row>
    <row r="98" spans="1:17" ht="36">
      <c r="A98" s="42"/>
      <c r="B98" s="109">
        <v>59</v>
      </c>
      <c r="C98" s="56" t="s">
        <v>244</v>
      </c>
      <c r="D98" s="56" t="s">
        <v>777</v>
      </c>
      <c r="E98" s="57" t="s">
        <v>568</v>
      </c>
      <c r="F98" s="56" t="s">
        <v>49</v>
      </c>
      <c r="G98" s="56" t="s">
        <v>54</v>
      </c>
      <c r="H98" s="57" t="s">
        <v>182</v>
      </c>
      <c r="I98" s="57" t="s">
        <v>583</v>
      </c>
      <c r="J98" s="142"/>
      <c r="K98" s="142" t="s">
        <v>214</v>
      </c>
      <c r="L98" s="112"/>
      <c r="M98" s="127"/>
      <c r="N98" s="116"/>
      <c r="O98" s="128"/>
      <c r="P98" s="128"/>
      <c r="Q98" s="129"/>
    </row>
    <row r="99" spans="1:17" ht="24">
      <c r="A99" s="42"/>
      <c r="B99" s="109">
        <v>60</v>
      </c>
      <c r="C99" s="56" t="s">
        <v>244</v>
      </c>
      <c r="D99" s="56" t="s">
        <v>778</v>
      </c>
      <c r="E99" s="57" t="s">
        <v>568</v>
      </c>
      <c r="F99" s="56" t="s">
        <v>49</v>
      </c>
      <c r="G99" s="56" t="s">
        <v>54</v>
      </c>
      <c r="H99" s="57" t="s">
        <v>182</v>
      </c>
      <c r="I99" s="57" t="s">
        <v>584</v>
      </c>
      <c r="J99" s="142"/>
      <c r="K99" s="142" t="s">
        <v>215</v>
      </c>
      <c r="L99" s="112"/>
      <c r="M99" s="127"/>
      <c r="N99" s="116"/>
      <c r="O99" s="128"/>
      <c r="P99" s="128"/>
      <c r="Q99" s="129"/>
    </row>
    <row r="100" spans="1:17" ht="36">
      <c r="A100" s="42"/>
      <c r="B100" s="109">
        <v>61</v>
      </c>
      <c r="C100" s="56" t="s">
        <v>244</v>
      </c>
      <c r="D100" s="56" t="s">
        <v>779</v>
      </c>
      <c r="E100" s="57" t="s">
        <v>184</v>
      </c>
      <c r="F100" s="56" t="s">
        <v>176</v>
      </c>
      <c r="G100" s="116" t="s">
        <v>165</v>
      </c>
      <c r="H100" s="58" t="s">
        <v>185</v>
      </c>
      <c r="I100" s="130" t="s">
        <v>585</v>
      </c>
      <c r="J100" s="58"/>
      <c r="K100" s="58" t="s">
        <v>186</v>
      </c>
      <c r="L100" s="112"/>
      <c r="M100" s="127"/>
      <c r="N100" s="116"/>
      <c r="O100" s="128"/>
      <c r="P100" s="128"/>
      <c r="Q100" s="129"/>
    </row>
    <row r="101" spans="1:17" ht="48">
      <c r="A101" s="42"/>
      <c r="B101" s="109">
        <v>62</v>
      </c>
      <c r="C101" s="56" t="s">
        <v>244</v>
      </c>
      <c r="D101" s="56" t="s">
        <v>780</v>
      </c>
      <c r="E101" s="57" t="s">
        <v>184</v>
      </c>
      <c r="F101" s="56" t="s">
        <v>176</v>
      </c>
      <c r="G101" s="116" t="s">
        <v>165</v>
      </c>
      <c r="H101" s="58" t="s">
        <v>187</v>
      </c>
      <c r="I101" s="130" t="s">
        <v>586</v>
      </c>
      <c r="J101" s="142"/>
      <c r="K101" s="58" t="s">
        <v>188</v>
      </c>
      <c r="L101" s="112"/>
      <c r="M101" s="127"/>
      <c r="N101" s="116"/>
      <c r="O101" s="128"/>
      <c r="P101" s="128"/>
      <c r="Q101" s="129"/>
    </row>
    <row r="102" spans="1:17" ht="36">
      <c r="A102" s="42"/>
      <c r="B102" s="118">
        <v>63</v>
      </c>
      <c r="C102" s="56" t="s">
        <v>244</v>
      </c>
      <c r="D102" s="119" t="s">
        <v>781</v>
      </c>
      <c r="E102" s="61" t="s">
        <v>184</v>
      </c>
      <c r="F102" s="119" t="s">
        <v>176</v>
      </c>
      <c r="G102" s="121" t="s">
        <v>165</v>
      </c>
      <c r="H102" s="132" t="s">
        <v>189</v>
      </c>
      <c r="I102" s="133" t="s">
        <v>586</v>
      </c>
      <c r="J102" s="144"/>
      <c r="K102" s="132" t="s">
        <v>193</v>
      </c>
      <c r="L102" s="139"/>
      <c r="M102" s="140"/>
      <c r="N102" s="116"/>
      <c r="O102" s="135"/>
      <c r="P102" s="135"/>
      <c r="Q102" s="136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102" xr:uid="{9D1C5F1F-3F12-4F7B-B44F-9914030D942C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2" fitToHeight="4" orientation="landscape" verticalDpi="4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표지</vt:lpstr>
      <vt:lpstr>개정이력</vt:lpstr>
      <vt:lpstr>헤더</vt:lpstr>
      <vt:lpstr>결과</vt:lpstr>
      <vt:lpstr>0_목록</vt:lpstr>
      <vt:lpstr>1_회원가입</vt:lpstr>
      <vt:lpstr>2_회원전환</vt:lpstr>
      <vt:lpstr>3_로그인</vt:lpstr>
      <vt:lpstr>4_ID 찾기</vt:lpstr>
      <vt:lpstr>5_PW 찾기</vt:lpstr>
      <vt:lpstr>6_임직원 인증</vt:lpstr>
      <vt:lpstr>7_회원 탈퇴</vt:lpstr>
      <vt:lpstr>표지!Print_Area</vt:lpstr>
    </vt:vector>
  </TitlesOfParts>
  <Company>삼성SDS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업무기능구조도</dc:title>
  <dc:creator>jspark81@3top.co.kr</dc:creator>
  <cp:lastModifiedBy>3top_user000</cp:lastModifiedBy>
  <cp:lastPrinted>2019-06-11T02:44:12Z</cp:lastPrinted>
  <dcterms:created xsi:type="dcterms:W3CDTF">2005-07-28T05:32:49Z</dcterms:created>
  <dcterms:modified xsi:type="dcterms:W3CDTF">2019-06-12T00:57:11Z</dcterms:modified>
</cp:coreProperties>
</file>